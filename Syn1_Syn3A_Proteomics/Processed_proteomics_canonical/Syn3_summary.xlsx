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ybyu\Documents\UD data_20240108\Documents\Documents\E3tips\OFIC\JCVI_Glass\"/>
    </mc:Choice>
  </mc:AlternateContent>
  <xr:revisionPtr revIDLastSave="0" documentId="13_ncr:1_{125EA127-CD87-47F4-9BB5-7579B81DE0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entification overview" sheetId="2" r:id="rId1"/>
    <sheet name="Proteins_all_raw data" sheetId="1" r:id="rId2"/>
    <sheet name="iBAQ" sheetId="3" r:id="rId3"/>
  </sheets>
  <definedNames>
    <definedName name="_xlnm._FilterDatabase" localSheetId="2" hidden="1">iBAQ!$J$1:$J$450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3" l="1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8" i="3"/>
  <c r="F7" i="3"/>
  <c r="F6" i="3"/>
  <c r="F5" i="3"/>
  <c r="F4" i="3"/>
  <c r="F3" i="3"/>
  <c r="F2" i="3"/>
  <c r="F1" i="3" l="1"/>
  <c r="I192" i="3" s="1"/>
  <c r="G2" i="3"/>
  <c r="I12" i="3" l="1"/>
  <c r="I223" i="3"/>
  <c r="I406" i="3"/>
  <c r="I367" i="3"/>
  <c r="I49" i="3"/>
  <c r="I129" i="3"/>
  <c r="I245" i="3"/>
  <c r="I410" i="3"/>
  <c r="I53" i="3"/>
  <c r="I429" i="3"/>
  <c r="I46" i="3"/>
  <c r="I108" i="3"/>
  <c r="I32" i="3"/>
  <c r="I117" i="3"/>
  <c r="I181" i="3"/>
  <c r="I31" i="3"/>
  <c r="I150" i="3"/>
  <c r="I160" i="3"/>
  <c r="I95" i="3"/>
  <c r="I230" i="3"/>
  <c r="I5" i="3"/>
  <c r="I159" i="3"/>
  <c r="I326" i="3"/>
  <c r="I283" i="3"/>
  <c r="I61" i="3"/>
  <c r="I54" i="3"/>
  <c r="I39" i="3"/>
  <c r="I103" i="3"/>
  <c r="I167" i="3"/>
  <c r="I247" i="3"/>
  <c r="I57" i="3"/>
  <c r="I10" i="3"/>
  <c r="I36" i="3"/>
  <c r="I116" i="3"/>
  <c r="I158" i="3"/>
  <c r="I254" i="3"/>
  <c r="I334" i="3"/>
  <c r="I414" i="3"/>
  <c r="I295" i="3"/>
  <c r="I375" i="3"/>
  <c r="I355" i="3"/>
  <c r="I40" i="3"/>
  <c r="I168" i="3"/>
  <c r="I425" i="3"/>
  <c r="I162" i="3"/>
  <c r="I219" i="3"/>
  <c r="I4" i="3"/>
  <c r="I125" i="3"/>
  <c r="I69" i="3"/>
  <c r="I62" i="3"/>
  <c r="I255" i="3"/>
  <c r="I44" i="3"/>
  <c r="I422" i="3"/>
  <c r="I232" i="3"/>
  <c r="H2" i="3"/>
  <c r="I13" i="3"/>
  <c r="I77" i="3"/>
  <c r="I141" i="3"/>
  <c r="I205" i="3"/>
  <c r="I269" i="3"/>
  <c r="I70" i="3"/>
  <c r="I55" i="3"/>
  <c r="I119" i="3"/>
  <c r="I183" i="3"/>
  <c r="I263" i="3"/>
  <c r="I73" i="3"/>
  <c r="I42" i="3"/>
  <c r="I52" i="3"/>
  <c r="I94" i="3"/>
  <c r="I190" i="3"/>
  <c r="I270" i="3"/>
  <c r="I350" i="3"/>
  <c r="I446" i="3"/>
  <c r="I311" i="3"/>
  <c r="I399" i="3"/>
  <c r="I411" i="3"/>
  <c r="I88" i="3"/>
  <c r="I240" i="3"/>
  <c r="I177" i="3"/>
  <c r="I290" i="3"/>
  <c r="I132" i="3"/>
  <c r="I189" i="3"/>
  <c r="I2" i="3"/>
  <c r="I261" i="3"/>
  <c r="I175" i="3"/>
  <c r="I166" i="3"/>
  <c r="I226" i="3"/>
  <c r="I3" i="3"/>
  <c r="I21" i="3"/>
  <c r="I85" i="3"/>
  <c r="I149" i="3"/>
  <c r="I213" i="3"/>
  <c r="I14" i="3"/>
  <c r="I78" i="3"/>
  <c r="I63" i="3"/>
  <c r="I127" i="3"/>
  <c r="I191" i="3"/>
  <c r="I271" i="3"/>
  <c r="I81" i="3"/>
  <c r="I50" i="3"/>
  <c r="I60" i="3"/>
  <c r="I102" i="3"/>
  <c r="I198" i="3"/>
  <c r="I278" i="3"/>
  <c r="I358" i="3"/>
  <c r="I339" i="3"/>
  <c r="I319" i="3"/>
  <c r="I423" i="3"/>
  <c r="I285" i="3"/>
  <c r="I96" i="3"/>
  <c r="I304" i="3"/>
  <c r="I241" i="3"/>
  <c r="I354" i="3"/>
  <c r="I196" i="3"/>
  <c r="I133" i="3"/>
  <c r="I65" i="3"/>
  <c r="I262" i="3"/>
  <c r="I383" i="3"/>
  <c r="I379" i="3"/>
  <c r="I8" i="3"/>
  <c r="I29" i="3"/>
  <c r="I93" i="3"/>
  <c r="I157" i="3"/>
  <c r="I221" i="3"/>
  <c r="I22" i="3"/>
  <c r="I86" i="3"/>
  <c r="I71" i="3"/>
  <c r="I135" i="3"/>
  <c r="I199" i="3"/>
  <c r="I9" i="3"/>
  <c r="I105" i="3"/>
  <c r="I58" i="3"/>
  <c r="I68" i="3"/>
  <c r="I126" i="3"/>
  <c r="I206" i="3"/>
  <c r="I286" i="3"/>
  <c r="I382" i="3"/>
  <c r="I443" i="3"/>
  <c r="I327" i="3"/>
  <c r="I431" i="3"/>
  <c r="I357" i="3"/>
  <c r="I104" i="3"/>
  <c r="I312" i="3"/>
  <c r="I305" i="3"/>
  <c r="I434" i="3"/>
  <c r="I260" i="3"/>
  <c r="I47" i="3"/>
  <c r="I124" i="3"/>
  <c r="I303" i="3"/>
  <c r="I56" i="3"/>
  <c r="I37" i="3"/>
  <c r="I165" i="3"/>
  <c r="I229" i="3"/>
  <c r="I30" i="3"/>
  <c r="I15" i="3"/>
  <c r="I79" i="3"/>
  <c r="I143" i="3"/>
  <c r="I207" i="3"/>
  <c r="I17" i="3"/>
  <c r="I113" i="3"/>
  <c r="I66" i="3"/>
  <c r="I76" i="3"/>
  <c r="I134" i="3"/>
  <c r="I214" i="3"/>
  <c r="I294" i="3"/>
  <c r="I390" i="3"/>
  <c r="I309" i="3"/>
  <c r="I335" i="3"/>
  <c r="I439" i="3"/>
  <c r="I16" i="3"/>
  <c r="I112" i="3"/>
  <c r="I376" i="3"/>
  <c r="I369" i="3"/>
  <c r="I27" i="3"/>
  <c r="I324" i="3"/>
  <c r="I253" i="3"/>
  <c r="I197" i="3"/>
  <c r="I111" i="3"/>
  <c r="I18" i="3"/>
  <c r="I342" i="3"/>
  <c r="I341" i="3"/>
  <c r="I7" i="3"/>
  <c r="I101" i="3"/>
  <c r="I6" i="3"/>
  <c r="I45" i="3"/>
  <c r="I109" i="3"/>
  <c r="I173" i="3"/>
  <c r="I237" i="3"/>
  <c r="I38" i="3"/>
  <c r="I23" i="3"/>
  <c r="I87" i="3"/>
  <c r="I151" i="3"/>
  <c r="I215" i="3"/>
  <c r="I41" i="3"/>
  <c r="I121" i="3"/>
  <c r="I74" i="3"/>
  <c r="I100" i="3"/>
  <c r="I142" i="3"/>
  <c r="I222" i="3"/>
  <c r="I318" i="3"/>
  <c r="I398" i="3"/>
  <c r="I365" i="3"/>
  <c r="I359" i="3"/>
  <c r="I447" i="3"/>
  <c r="I24" i="3"/>
  <c r="I136" i="3"/>
  <c r="I392" i="3"/>
  <c r="I449" i="3"/>
  <c r="I91" i="3"/>
  <c r="I388" i="3"/>
  <c r="I98" i="3"/>
  <c r="I155" i="3"/>
  <c r="I293" i="3"/>
  <c r="I176" i="3"/>
  <c r="I248" i="3"/>
  <c r="I328" i="3"/>
  <c r="I400" i="3"/>
  <c r="I402" i="3"/>
  <c r="I381" i="3"/>
  <c r="I185" i="3"/>
  <c r="I249" i="3"/>
  <c r="I313" i="3"/>
  <c r="I377" i="3"/>
  <c r="I315" i="3"/>
  <c r="I106" i="3"/>
  <c r="I170" i="3"/>
  <c r="I234" i="3"/>
  <c r="I298" i="3"/>
  <c r="I362" i="3"/>
  <c r="I331" i="3"/>
  <c r="I35" i="3"/>
  <c r="I99" i="3"/>
  <c r="I163" i="3"/>
  <c r="I227" i="3"/>
  <c r="I307" i="3"/>
  <c r="I140" i="3"/>
  <c r="I204" i="3"/>
  <c r="I268" i="3"/>
  <c r="I332" i="3"/>
  <c r="I396" i="3"/>
  <c r="I349" i="3"/>
  <c r="I184" i="3"/>
  <c r="I264" i="3"/>
  <c r="I336" i="3"/>
  <c r="I408" i="3"/>
  <c r="I450" i="3"/>
  <c r="I413" i="3"/>
  <c r="I193" i="3"/>
  <c r="I257" i="3"/>
  <c r="I321" i="3"/>
  <c r="I385" i="3"/>
  <c r="I403" i="3"/>
  <c r="I114" i="3"/>
  <c r="I178" i="3"/>
  <c r="I242" i="3"/>
  <c r="I306" i="3"/>
  <c r="I370" i="3"/>
  <c r="I427" i="3"/>
  <c r="I43" i="3"/>
  <c r="I107" i="3"/>
  <c r="I171" i="3"/>
  <c r="I235" i="3"/>
  <c r="I323" i="3"/>
  <c r="I148" i="3"/>
  <c r="I212" i="3"/>
  <c r="I276" i="3"/>
  <c r="I340" i="3"/>
  <c r="I404" i="3"/>
  <c r="I421" i="3"/>
  <c r="I391" i="3"/>
  <c r="I433" i="3"/>
  <c r="I333" i="3"/>
  <c r="I48" i="3"/>
  <c r="I120" i="3"/>
  <c r="I200" i="3"/>
  <c r="I272" i="3"/>
  <c r="I344" i="3"/>
  <c r="I416" i="3"/>
  <c r="I291" i="3"/>
  <c r="I137" i="3"/>
  <c r="I201" i="3"/>
  <c r="I265" i="3"/>
  <c r="I329" i="3"/>
  <c r="I393" i="3"/>
  <c r="I435" i="3"/>
  <c r="I122" i="3"/>
  <c r="I186" i="3"/>
  <c r="I250" i="3"/>
  <c r="I314" i="3"/>
  <c r="I378" i="3"/>
  <c r="I301" i="3"/>
  <c r="I51" i="3"/>
  <c r="I115" i="3"/>
  <c r="I179" i="3"/>
  <c r="I243" i="3"/>
  <c r="I347" i="3"/>
  <c r="I156" i="3"/>
  <c r="I220" i="3"/>
  <c r="I284" i="3"/>
  <c r="I348" i="3"/>
  <c r="I412" i="3"/>
  <c r="I448" i="3"/>
  <c r="I208" i="3"/>
  <c r="I280" i="3"/>
  <c r="I352" i="3"/>
  <c r="I424" i="3"/>
  <c r="I363" i="3"/>
  <c r="I145" i="3"/>
  <c r="I209" i="3"/>
  <c r="I273" i="3"/>
  <c r="I337" i="3"/>
  <c r="I401" i="3"/>
  <c r="I317" i="3"/>
  <c r="I130" i="3"/>
  <c r="I194" i="3"/>
  <c r="I258" i="3"/>
  <c r="I322" i="3"/>
  <c r="I386" i="3"/>
  <c r="I373" i="3"/>
  <c r="I59" i="3"/>
  <c r="I123" i="3"/>
  <c r="I187" i="3"/>
  <c r="I251" i="3"/>
  <c r="I371" i="3"/>
  <c r="I164" i="3"/>
  <c r="I228" i="3"/>
  <c r="I292" i="3"/>
  <c r="I356" i="3"/>
  <c r="I420" i="3"/>
  <c r="I256" i="3"/>
  <c r="I231" i="3"/>
  <c r="I25" i="3"/>
  <c r="I89" i="3"/>
  <c r="I26" i="3"/>
  <c r="I20" i="3"/>
  <c r="I84" i="3"/>
  <c r="I110" i="3"/>
  <c r="I174" i="3"/>
  <c r="I238" i="3"/>
  <c r="I302" i="3"/>
  <c r="I366" i="3"/>
  <c r="I430" i="3"/>
  <c r="I279" i="3"/>
  <c r="I343" i="3"/>
  <c r="I407" i="3"/>
  <c r="I442" i="3"/>
  <c r="I389" i="3"/>
  <c r="I72" i="3"/>
  <c r="I144" i="3"/>
  <c r="I216" i="3"/>
  <c r="I288" i="3"/>
  <c r="I360" i="3"/>
  <c r="I432" i="3"/>
  <c r="I387" i="3"/>
  <c r="I153" i="3"/>
  <c r="I217" i="3"/>
  <c r="I281" i="3"/>
  <c r="I345" i="3"/>
  <c r="I409" i="3"/>
  <c r="I405" i="3"/>
  <c r="I138" i="3"/>
  <c r="I202" i="3"/>
  <c r="I266" i="3"/>
  <c r="I330" i="3"/>
  <c r="I394" i="3"/>
  <c r="I445" i="3"/>
  <c r="I67" i="3"/>
  <c r="I131" i="3"/>
  <c r="I195" i="3"/>
  <c r="I259" i="3"/>
  <c r="I395" i="3"/>
  <c r="I172" i="3"/>
  <c r="I236" i="3"/>
  <c r="I300" i="3"/>
  <c r="I364" i="3"/>
  <c r="I428" i="3"/>
  <c r="I384" i="3"/>
  <c r="I239" i="3"/>
  <c r="I33" i="3"/>
  <c r="I97" i="3"/>
  <c r="I34" i="3"/>
  <c r="I28" i="3"/>
  <c r="I92" i="3"/>
  <c r="I118" i="3"/>
  <c r="I182" i="3"/>
  <c r="I246" i="3"/>
  <c r="I310" i="3"/>
  <c r="I374" i="3"/>
  <c r="I438" i="3"/>
  <c r="I287" i="3"/>
  <c r="I351" i="3"/>
  <c r="I415" i="3"/>
  <c r="I299" i="3"/>
  <c r="I437" i="3"/>
  <c r="I80" i="3"/>
  <c r="I152" i="3"/>
  <c r="I224" i="3"/>
  <c r="I296" i="3"/>
  <c r="I368" i="3"/>
  <c r="I440" i="3"/>
  <c r="I419" i="3"/>
  <c r="I161" i="3"/>
  <c r="I225" i="3"/>
  <c r="I289" i="3"/>
  <c r="I353" i="3"/>
  <c r="I417" i="3"/>
  <c r="I82" i="3"/>
  <c r="I146" i="3"/>
  <c r="I210" i="3"/>
  <c r="I274" i="3"/>
  <c r="I338" i="3"/>
  <c r="I418" i="3"/>
  <c r="I11" i="3"/>
  <c r="I75" i="3"/>
  <c r="I139" i="3"/>
  <c r="I203" i="3"/>
  <c r="I267" i="3"/>
  <c r="I325" i="3"/>
  <c r="I180" i="3"/>
  <c r="I244" i="3"/>
  <c r="I308" i="3"/>
  <c r="I372" i="3"/>
  <c r="I436" i="3"/>
  <c r="I64" i="3"/>
  <c r="I128" i="3"/>
  <c r="I277" i="3"/>
  <c r="I169" i="3"/>
  <c r="I233" i="3"/>
  <c r="I297" i="3"/>
  <c r="I361" i="3"/>
  <c r="I441" i="3"/>
  <c r="I90" i="3"/>
  <c r="I154" i="3"/>
  <c r="I218" i="3"/>
  <c r="I282" i="3"/>
  <c r="I346" i="3"/>
  <c r="I426" i="3"/>
  <c r="I19" i="3"/>
  <c r="I83" i="3"/>
  <c r="I147" i="3"/>
  <c r="I211" i="3"/>
  <c r="I275" i="3"/>
  <c r="I397" i="3"/>
  <c r="I188" i="3"/>
  <c r="I252" i="3"/>
  <c r="I316" i="3"/>
  <c r="I380" i="3"/>
  <c r="I444" i="3"/>
  <c r="I320" i="3"/>
  <c r="G3" i="3"/>
  <c r="H3" i="3" l="1"/>
  <c r="G4" i="3"/>
  <c r="H4" i="3" l="1"/>
  <c r="G5" i="3"/>
  <c r="H5" i="3" l="1"/>
  <c r="G6" i="3"/>
  <c r="H6" i="3" l="1"/>
  <c r="G7" i="3"/>
  <c r="H7" i="3" l="1"/>
  <c r="G8" i="3"/>
  <c r="H8" i="3" l="1"/>
  <c r="G9" i="3"/>
  <c r="G10" i="3" l="1"/>
  <c r="H9" i="3"/>
  <c r="G11" i="3" l="1"/>
  <c r="H10" i="3"/>
  <c r="G12" i="3" l="1"/>
  <c r="H11" i="3"/>
  <c r="G13" i="3" l="1"/>
  <c r="H12" i="3"/>
  <c r="G14" i="3" l="1"/>
  <c r="H13" i="3"/>
  <c r="G15" i="3" l="1"/>
  <c r="H14" i="3"/>
  <c r="G16" i="3" l="1"/>
  <c r="H15" i="3"/>
  <c r="G17" i="3" l="1"/>
  <c r="H16" i="3"/>
  <c r="G18" i="3" l="1"/>
  <c r="H17" i="3"/>
  <c r="G19" i="3" l="1"/>
  <c r="H18" i="3"/>
  <c r="G20" i="3" l="1"/>
  <c r="H19" i="3"/>
  <c r="G21" i="3" l="1"/>
  <c r="H20" i="3"/>
  <c r="G22" i="3" l="1"/>
  <c r="H21" i="3"/>
  <c r="G23" i="3" l="1"/>
  <c r="H22" i="3"/>
  <c r="G24" i="3" l="1"/>
  <c r="H23" i="3"/>
  <c r="G25" i="3" l="1"/>
  <c r="H24" i="3"/>
  <c r="G26" i="3" l="1"/>
  <c r="H25" i="3"/>
  <c r="G27" i="3" l="1"/>
  <c r="H27" i="3" s="1"/>
  <c r="H26" i="3"/>
  <c r="G28" i="3" l="1"/>
  <c r="H28" i="3" s="1"/>
  <c r="G29" i="3" l="1"/>
  <c r="H29" i="3" s="1"/>
  <c r="G30" i="3" l="1"/>
  <c r="H30" i="3" s="1"/>
  <c r="G31" i="3" l="1"/>
  <c r="H31" i="3" s="1"/>
  <c r="G32" i="3" l="1"/>
  <c r="H32" i="3" s="1"/>
  <c r="G33" i="3" l="1"/>
  <c r="H33" i="3" s="1"/>
  <c r="G34" i="3" l="1"/>
  <c r="H34" i="3" s="1"/>
  <c r="G35" i="3" l="1"/>
  <c r="H35" i="3" s="1"/>
  <c r="G36" i="3" l="1"/>
  <c r="H36" i="3" s="1"/>
  <c r="G37" i="3" l="1"/>
  <c r="G38" i="3" l="1"/>
  <c r="H37" i="3"/>
  <c r="G39" i="3" l="1"/>
  <c r="H38" i="3"/>
  <c r="G40" i="3" l="1"/>
  <c r="H39" i="3"/>
  <c r="G41" i="3" l="1"/>
  <c r="H40" i="3"/>
  <c r="G42" i="3" l="1"/>
  <c r="H41" i="3"/>
  <c r="G43" i="3" l="1"/>
  <c r="H42" i="3"/>
  <c r="G44" i="3" l="1"/>
  <c r="H43" i="3"/>
  <c r="G45" i="3" l="1"/>
  <c r="H44" i="3"/>
  <c r="G46" i="3" l="1"/>
  <c r="H45" i="3"/>
  <c r="G47" i="3" l="1"/>
  <c r="H46" i="3"/>
  <c r="G48" i="3" l="1"/>
  <c r="H47" i="3"/>
  <c r="G49" i="3" l="1"/>
  <c r="H48" i="3"/>
  <c r="G50" i="3" l="1"/>
  <c r="H49" i="3"/>
  <c r="G51" i="3" l="1"/>
  <c r="H50" i="3"/>
  <c r="G52" i="3" l="1"/>
  <c r="H51" i="3"/>
  <c r="G53" i="3" l="1"/>
  <c r="H52" i="3"/>
  <c r="G54" i="3" l="1"/>
  <c r="H53" i="3"/>
  <c r="G55" i="3" l="1"/>
  <c r="H54" i="3"/>
  <c r="G56" i="3" l="1"/>
  <c r="H55" i="3"/>
  <c r="G57" i="3" l="1"/>
  <c r="H56" i="3"/>
  <c r="G58" i="3" l="1"/>
  <c r="H57" i="3"/>
  <c r="G59" i="3" l="1"/>
  <c r="H58" i="3"/>
  <c r="G60" i="3" l="1"/>
  <c r="H59" i="3"/>
  <c r="G61" i="3" l="1"/>
  <c r="H60" i="3"/>
  <c r="G62" i="3" l="1"/>
  <c r="H61" i="3"/>
  <c r="G63" i="3" l="1"/>
  <c r="H62" i="3"/>
  <c r="G64" i="3" l="1"/>
  <c r="H63" i="3"/>
  <c r="G65" i="3" l="1"/>
  <c r="H64" i="3"/>
  <c r="G66" i="3" l="1"/>
  <c r="H65" i="3"/>
  <c r="G67" i="3" l="1"/>
  <c r="H66" i="3"/>
  <c r="G68" i="3" l="1"/>
  <c r="H67" i="3"/>
  <c r="G69" i="3" l="1"/>
  <c r="H68" i="3"/>
  <c r="G70" i="3" l="1"/>
  <c r="H69" i="3"/>
  <c r="G71" i="3" l="1"/>
  <c r="H70" i="3"/>
  <c r="G72" i="3" l="1"/>
  <c r="H71" i="3"/>
  <c r="G73" i="3" l="1"/>
  <c r="H72" i="3"/>
  <c r="G74" i="3" l="1"/>
  <c r="H73" i="3"/>
  <c r="G75" i="3" l="1"/>
  <c r="H74" i="3"/>
  <c r="G76" i="3" l="1"/>
  <c r="H75" i="3"/>
  <c r="G77" i="3" l="1"/>
  <c r="H76" i="3"/>
  <c r="G78" i="3" l="1"/>
  <c r="H77" i="3"/>
  <c r="G79" i="3" l="1"/>
  <c r="H78" i="3"/>
  <c r="G80" i="3" l="1"/>
  <c r="H79" i="3"/>
  <c r="G81" i="3" l="1"/>
  <c r="H80" i="3"/>
  <c r="G82" i="3" l="1"/>
  <c r="H81" i="3"/>
  <c r="G83" i="3" l="1"/>
  <c r="H82" i="3"/>
  <c r="G84" i="3" l="1"/>
  <c r="H83" i="3"/>
  <c r="G85" i="3" l="1"/>
  <c r="H84" i="3"/>
  <c r="G86" i="3" l="1"/>
  <c r="H85" i="3"/>
  <c r="G87" i="3" l="1"/>
  <c r="H86" i="3"/>
  <c r="G88" i="3" l="1"/>
  <c r="H87" i="3"/>
  <c r="G89" i="3" l="1"/>
  <c r="H88" i="3"/>
  <c r="G90" i="3" l="1"/>
  <c r="H89" i="3"/>
  <c r="G91" i="3" l="1"/>
  <c r="H90" i="3"/>
  <c r="G92" i="3" l="1"/>
  <c r="H91" i="3"/>
  <c r="G93" i="3" l="1"/>
  <c r="H92" i="3"/>
  <c r="G94" i="3" l="1"/>
  <c r="H93" i="3"/>
  <c r="G95" i="3" l="1"/>
  <c r="H94" i="3"/>
  <c r="G96" i="3" l="1"/>
  <c r="H95" i="3"/>
  <c r="G97" i="3" l="1"/>
  <c r="H96" i="3"/>
  <c r="G98" i="3" l="1"/>
  <c r="H97" i="3"/>
  <c r="G99" i="3" l="1"/>
  <c r="H98" i="3"/>
  <c r="G100" i="3" l="1"/>
  <c r="H99" i="3"/>
  <c r="G101" i="3" l="1"/>
  <c r="H100" i="3"/>
  <c r="G102" i="3" l="1"/>
  <c r="H101" i="3"/>
  <c r="G103" i="3" l="1"/>
  <c r="H102" i="3"/>
  <c r="G104" i="3" l="1"/>
  <c r="H103" i="3"/>
  <c r="G105" i="3" l="1"/>
  <c r="H104" i="3"/>
  <c r="G106" i="3" l="1"/>
  <c r="H105" i="3"/>
  <c r="G107" i="3" l="1"/>
  <c r="H106" i="3"/>
  <c r="G108" i="3" l="1"/>
  <c r="H107" i="3"/>
  <c r="G109" i="3" l="1"/>
  <c r="H108" i="3"/>
  <c r="G110" i="3" l="1"/>
  <c r="H109" i="3"/>
  <c r="G111" i="3" l="1"/>
  <c r="H110" i="3"/>
  <c r="G112" i="3" l="1"/>
  <c r="H111" i="3"/>
  <c r="G113" i="3" l="1"/>
  <c r="H112" i="3"/>
  <c r="G114" i="3" l="1"/>
  <c r="H113" i="3"/>
  <c r="G115" i="3" l="1"/>
  <c r="H114" i="3"/>
  <c r="G116" i="3" l="1"/>
  <c r="H115" i="3"/>
  <c r="G117" i="3" l="1"/>
  <c r="H116" i="3"/>
  <c r="G118" i="3" l="1"/>
  <c r="H117" i="3"/>
  <c r="G119" i="3" l="1"/>
  <c r="H118" i="3"/>
  <c r="G120" i="3" l="1"/>
  <c r="H119" i="3"/>
  <c r="G121" i="3" l="1"/>
  <c r="H120" i="3"/>
  <c r="G122" i="3" l="1"/>
  <c r="H121" i="3"/>
  <c r="G123" i="3" l="1"/>
  <c r="H122" i="3"/>
  <c r="G124" i="3" l="1"/>
  <c r="H123" i="3"/>
  <c r="G125" i="3" l="1"/>
  <c r="H124" i="3"/>
  <c r="G126" i="3" l="1"/>
  <c r="H125" i="3"/>
  <c r="G127" i="3" l="1"/>
  <c r="H126" i="3"/>
  <c r="G128" i="3" l="1"/>
  <c r="H127" i="3"/>
  <c r="G129" i="3" l="1"/>
  <c r="H128" i="3"/>
  <c r="G130" i="3" l="1"/>
  <c r="H129" i="3"/>
  <c r="G131" i="3" l="1"/>
  <c r="H130" i="3"/>
  <c r="G132" i="3" l="1"/>
  <c r="H131" i="3"/>
  <c r="G133" i="3" l="1"/>
  <c r="H132" i="3"/>
  <c r="G134" i="3" l="1"/>
  <c r="H133" i="3"/>
  <c r="G135" i="3" l="1"/>
  <c r="H134" i="3"/>
  <c r="G136" i="3" l="1"/>
  <c r="H135" i="3"/>
  <c r="G137" i="3" l="1"/>
  <c r="H136" i="3"/>
  <c r="G138" i="3" l="1"/>
  <c r="H137" i="3"/>
  <c r="G139" i="3" l="1"/>
  <c r="H138" i="3"/>
  <c r="G140" i="3" l="1"/>
  <c r="H139" i="3"/>
  <c r="G141" i="3" l="1"/>
  <c r="H140" i="3"/>
  <c r="G142" i="3" l="1"/>
  <c r="H141" i="3"/>
  <c r="G143" i="3" l="1"/>
  <c r="H142" i="3"/>
  <c r="G144" i="3" l="1"/>
  <c r="H143" i="3"/>
  <c r="G145" i="3" l="1"/>
  <c r="H144" i="3"/>
  <c r="G146" i="3" l="1"/>
  <c r="H145" i="3"/>
  <c r="G147" i="3" l="1"/>
  <c r="H146" i="3"/>
  <c r="G148" i="3" l="1"/>
  <c r="H147" i="3"/>
  <c r="G149" i="3" l="1"/>
  <c r="H148" i="3"/>
  <c r="G150" i="3" l="1"/>
  <c r="H149" i="3"/>
  <c r="G151" i="3" l="1"/>
  <c r="H150" i="3"/>
  <c r="G152" i="3" l="1"/>
  <c r="H151" i="3"/>
  <c r="G153" i="3" l="1"/>
  <c r="H152" i="3"/>
  <c r="G154" i="3" l="1"/>
  <c r="H153" i="3"/>
  <c r="G155" i="3" l="1"/>
  <c r="H154" i="3"/>
  <c r="G156" i="3" l="1"/>
  <c r="H155" i="3"/>
  <c r="G157" i="3" l="1"/>
  <c r="H156" i="3"/>
  <c r="G158" i="3" l="1"/>
  <c r="H157" i="3"/>
  <c r="G159" i="3" l="1"/>
  <c r="H158" i="3"/>
  <c r="G160" i="3" l="1"/>
  <c r="H159" i="3"/>
  <c r="G161" i="3" l="1"/>
  <c r="H160" i="3"/>
  <c r="G162" i="3" l="1"/>
  <c r="H161" i="3"/>
  <c r="G163" i="3" l="1"/>
  <c r="H162" i="3"/>
  <c r="G164" i="3" l="1"/>
  <c r="H163" i="3"/>
  <c r="G165" i="3" l="1"/>
  <c r="H164" i="3"/>
  <c r="G166" i="3" l="1"/>
  <c r="H165" i="3"/>
  <c r="G167" i="3" l="1"/>
  <c r="H166" i="3"/>
  <c r="G168" i="3" l="1"/>
  <c r="H167" i="3"/>
  <c r="G169" i="3" l="1"/>
  <c r="H168" i="3"/>
  <c r="G170" i="3" l="1"/>
  <c r="H169" i="3"/>
  <c r="G171" i="3" l="1"/>
  <c r="H170" i="3"/>
  <c r="G172" i="3" l="1"/>
  <c r="H171" i="3"/>
  <c r="G173" i="3" l="1"/>
  <c r="H172" i="3"/>
  <c r="G174" i="3" l="1"/>
  <c r="H173" i="3"/>
  <c r="G175" i="3" l="1"/>
  <c r="H174" i="3"/>
  <c r="G176" i="3" l="1"/>
  <c r="H175" i="3"/>
  <c r="G177" i="3" l="1"/>
  <c r="H176" i="3"/>
  <c r="G178" i="3" l="1"/>
  <c r="H177" i="3"/>
  <c r="G179" i="3" l="1"/>
  <c r="H178" i="3"/>
  <c r="G180" i="3" l="1"/>
  <c r="H179" i="3"/>
  <c r="G181" i="3" l="1"/>
  <c r="H180" i="3"/>
  <c r="G182" i="3" l="1"/>
  <c r="H181" i="3"/>
  <c r="G183" i="3" l="1"/>
  <c r="H182" i="3"/>
  <c r="G184" i="3" l="1"/>
  <c r="H183" i="3"/>
  <c r="G185" i="3" l="1"/>
  <c r="H184" i="3"/>
  <c r="G186" i="3" l="1"/>
  <c r="H185" i="3"/>
  <c r="G187" i="3" l="1"/>
  <c r="H186" i="3"/>
  <c r="G188" i="3" l="1"/>
  <c r="H187" i="3"/>
  <c r="G189" i="3" l="1"/>
  <c r="H188" i="3"/>
  <c r="G190" i="3" l="1"/>
  <c r="H189" i="3"/>
  <c r="G191" i="3" l="1"/>
  <c r="H190" i="3"/>
  <c r="G192" i="3" l="1"/>
  <c r="H191" i="3"/>
  <c r="G193" i="3" l="1"/>
  <c r="H192" i="3"/>
  <c r="G194" i="3" l="1"/>
  <c r="H193" i="3"/>
  <c r="G195" i="3" l="1"/>
  <c r="H194" i="3"/>
  <c r="G196" i="3" l="1"/>
  <c r="H195" i="3"/>
  <c r="G197" i="3" l="1"/>
  <c r="H196" i="3"/>
  <c r="G198" i="3" l="1"/>
  <c r="H197" i="3"/>
  <c r="G199" i="3" l="1"/>
  <c r="H198" i="3"/>
  <c r="G200" i="3" l="1"/>
  <c r="H199" i="3"/>
  <c r="G201" i="3" l="1"/>
  <c r="H200" i="3"/>
  <c r="G202" i="3" l="1"/>
  <c r="H201" i="3"/>
  <c r="G203" i="3" l="1"/>
  <c r="H202" i="3"/>
  <c r="G204" i="3" l="1"/>
  <c r="H203" i="3"/>
  <c r="G205" i="3" l="1"/>
  <c r="H204" i="3"/>
  <c r="G206" i="3" l="1"/>
  <c r="H205" i="3"/>
  <c r="G207" i="3" l="1"/>
  <c r="H206" i="3"/>
  <c r="G208" i="3" l="1"/>
  <c r="H207" i="3"/>
  <c r="G209" i="3" l="1"/>
  <c r="H208" i="3"/>
  <c r="G210" i="3" l="1"/>
  <c r="H209" i="3"/>
  <c r="G211" i="3" l="1"/>
  <c r="H210" i="3"/>
  <c r="G212" i="3" l="1"/>
  <c r="H211" i="3"/>
  <c r="G213" i="3" l="1"/>
  <c r="H212" i="3"/>
  <c r="G214" i="3" l="1"/>
  <c r="H213" i="3"/>
  <c r="G215" i="3" l="1"/>
  <c r="H214" i="3"/>
  <c r="G216" i="3" l="1"/>
  <c r="H215" i="3"/>
  <c r="G217" i="3" l="1"/>
  <c r="H216" i="3"/>
  <c r="G218" i="3" l="1"/>
  <c r="H217" i="3"/>
  <c r="G219" i="3" l="1"/>
  <c r="H218" i="3"/>
  <c r="G220" i="3" l="1"/>
  <c r="H219" i="3"/>
  <c r="G221" i="3" l="1"/>
  <c r="H220" i="3"/>
  <c r="G222" i="3" l="1"/>
  <c r="H221" i="3"/>
  <c r="G223" i="3" l="1"/>
  <c r="H222" i="3"/>
  <c r="G224" i="3" l="1"/>
  <c r="H223" i="3"/>
  <c r="G225" i="3" l="1"/>
  <c r="H224" i="3"/>
  <c r="G226" i="3" l="1"/>
  <c r="H225" i="3"/>
  <c r="G227" i="3" l="1"/>
  <c r="H226" i="3"/>
  <c r="G228" i="3" l="1"/>
  <c r="H227" i="3"/>
  <c r="G229" i="3" l="1"/>
  <c r="H228" i="3"/>
  <c r="G230" i="3" l="1"/>
  <c r="H229" i="3"/>
  <c r="G231" i="3" l="1"/>
  <c r="H230" i="3"/>
  <c r="G232" i="3" l="1"/>
  <c r="H231" i="3"/>
  <c r="G233" i="3" l="1"/>
  <c r="H232" i="3"/>
  <c r="G234" i="3" l="1"/>
  <c r="H233" i="3"/>
  <c r="G235" i="3" l="1"/>
  <c r="H234" i="3"/>
  <c r="G236" i="3" l="1"/>
  <c r="H235" i="3"/>
  <c r="G237" i="3" l="1"/>
  <c r="H236" i="3"/>
  <c r="G238" i="3" l="1"/>
  <c r="H237" i="3"/>
  <c r="G239" i="3" l="1"/>
  <c r="H238" i="3"/>
  <c r="G240" i="3" l="1"/>
  <c r="H239" i="3"/>
  <c r="G241" i="3" l="1"/>
  <c r="H240" i="3"/>
  <c r="G242" i="3" l="1"/>
  <c r="H241" i="3"/>
  <c r="G243" i="3" l="1"/>
  <c r="H242" i="3"/>
  <c r="G244" i="3" l="1"/>
  <c r="H243" i="3"/>
  <c r="G245" i="3" l="1"/>
  <c r="H244" i="3"/>
  <c r="G246" i="3" l="1"/>
  <c r="H245" i="3"/>
  <c r="G247" i="3" l="1"/>
  <c r="H246" i="3"/>
  <c r="G248" i="3" l="1"/>
  <c r="H247" i="3"/>
  <c r="G249" i="3" l="1"/>
  <c r="H248" i="3"/>
  <c r="G250" i="3" l="1"/>
  <c r="H249" i="3"/>
  <c r="G251" i="3" l="1"/>
  <c r="H250" i="3"/>
  <c r="G252" i="3" l="1"/>
  <c r="H251" i="3"/>
  <c r="G253" i="3" l="1"/>
  <c r="H252" i="3"/>
  <c r="G254" i="3" l="1"/>
  <c r="H253" i="3"/>
  <c r="G255" i="3" l="1"/>
  <c r="H254" i="3"/>
  <c r="G256" i="3" l="1"/>
  <c r="H255" i="3"/>
  <c r="G257" i="3" l="1"/>
  <c r="H256" i="3"/>
  <c r="G258" i="3" l="1"/>
  <c r="H257" i="3"/>
  <c r="G259" i="3" l="1"/>
  <c r="H258" i="3"/>
  <c r="G260" i="3" l="1"/>
  <c r="H259" i="3"/>
  <c r="G261" i="3" l="1"/>
  <c r="H260" i="3"/>
  <c r="G262" i="3" l="1"/>
  <c r="H261" i="3"/>
  <c r="G263" i="3" l="1"/>
  <c r="H262" i="3"/>
  <c r="G264" i="3" l="1"/>
  <c r="H263" i="3"/>
  <c r="G265" i="3" l="1"/>
  <c r="H264" i="3"/>
  <c r="G266" i="3" l="1"/>
  <c r="H265" i="3"/>
  <c r="G267" i="3" l="1"/>
  <c r="H266" i="3"/>
  <c r="G268" i="3" l="1"/>
  <c r="H267" i="3"/>
  <c r="G269" i="3" l="1"/>
  <c r="H268" i="3"/>
  <c r="G270" i="3" l="1"/>
  <c r="H269" i="3"/>
  <c r="G271" i="3" l="1"/>
  <c r="H270" i="3"/>
  <c r="G272" i="3" l="1"/>
  <c r="H271" i="3"/>
  <c r="G273" i="3" l="1"/>
  <c r="H272" i="3"/>
  <c r="G274" i="3" l="1"/>
  <c r="H273" i="3"/>
  <c r="G275" i="3" l="1"/>
  <c r="H274" i="3"/>
  <c r="G276" i="3" l="1"/>
  <c r="H275" i="3"/>
  <c r="G277" i="3" l="1"/>
  <c r="H276" i="3"/>
  <c r="G278" i="3" l="1"/>
  <c r="H277" i="3"/>
  <c r="G279" i="3" l="1"/>
  <c r="H278" i="3"/>
  <c r="G280" i="3" l="1"/>
  <c r="H279" i="3"/>
  <c r="G281" i="3" l="1"/>
  <c r="H280" i="3"/>
  <c r="G282" i="3" l="1"/>
  <c r="H281" i="3"/>
  <c r="G283" i="3" l="1"/>
  <c r="H282" i="3"/>
  <c r="G284" i="3" l="1"/>
  <c r="H283" i="3"/>
  <c r="G285" i="3" l="1"/>
  <c r="H284" i="3"/>
  <c r="G286" i="3" l="1"/>
  <c r="H285" i="3"/>
  <c r="G287" i="3" l="1"/>
  <c r="H286" i="3"/>
  <c r="G288" i="3" l="1"/>
  <c r="H287" i="3"/>
  <c r="G289" i="3" l="1"/>
  <c r="H288" i="3"/>
  <c r="G290" i="3" l="1"/>
  <c r="H289" i="3"/>
  <c r="G291" i="3" l="1"/>
  <c r="H290" i="3"/>
  <c r="G292" i="3" l="1"/>
  <c r="H291" i="3"/>
  <c r="G293" i="3" l="1"/>
  <c r="H292" i="3"/>
  <c r="G294" i="3" l="1"/>
  <c r="H293" i="3"/>
  <c r="G295" i="3" l="1"/>
  <c r="H294" i="3"/>
  <c r="G296" i="3" l="1"/>
  <c r="H295" i="3"/>
  <c r="G297" i="3" l="1"/>
  <c r="H296" i="3"/>
  <c r="G298" i="3" l="1"/>
  <c r="H297" i="3"/>
  <c r="G299" i="3" l="1"/>
  <c r="H298" i="3"/>
  <c r="G300" i="3" l="1"/>
  <c r="H299" i="3"/>
  <c r="G301" i="3" l="1"/>
  <c r="H300" i="3"/>
  <c r="G302" i="3" l="1"/>
  <c r="H301" i="3"/>
  <c r="G303" i="3" l="1"/>
  <c r="H302" i="3"/>
  <c r="G304" i="3" l="1"/>
  <c r="H303" i="3"/>
  <c r="G305" i="3" l="1"/>
  <c r="H304" i="3"/>
  <c r="G306" i="3" l="1"/>
  <c r="H305" i="3"/>
  <c r="G307" i="3" l="1"/>
  <c r="H306" i="3"/>
  <c r="G308" i="3" l="1"/>
  <c r="H307" i="3"/>
  <c r="G309" i="3" l="1"/>
  <c r="H308" i="3"/>
  <c r="G310" i="3" l="1"/>
  <c r="H309" i="3"/>
  <c r="G311" i="3" l="1"/>
  <c r="H310" i="3"/>
  <c r="G312" i="3" l="1"/>
  <c r="H311" i="3"/>
  <c r="G313" i="3" l="1"/>
  <c r="H312" i="3"/>
  <c r="G314" i="3" l="1"/>
  <c r="H313" i="3"/>
  <c r="G315" i="3" l="1"/>
  <c r="H314" i="3"/>
  <c r="G316" i="3" l="1"/>
  <c r="H315" i="3"/>
  <c r="G317" i="3" l="1"/>
  <c r="H316" i="3"/>
  <c r="G318" i="3" l="1"/>
  <c r="H317" i="3"/>
  <c r="G319" i="3" l="1"/>
  <c r="H318" i="3"/>
  <c r="G320" i="3" l="1"/>
  <c r="H319" i="3"/>
  <c r="G321" i="3" l="1"/>
  <c r="H320" i="3"/>
  <c r="G322" i="3" l="1"/>
  <c r="H321" i="3"/>
  <c r="G323" i="3" l="1"/>
  <c r="H322" i="3"/>
  <c r="G324" i="3" l="1"/>
  <c r="H323" i="3"/>
  <c r="G325" i="3" l="1"/>
  <c r="H324" i="3"/>
  <c r="G326" i="3" l="1"/>
  <c r="H325" i="3"/>
  <c r="G327" i="3" l="1"/>
  <c r="H326" i="3"/>
  <c r="G328" i="3" l="1"/>
  <c r="H327" i="3"/>
  <c r="G329" i="3" l="1"/>
  <c r="H328" i="3"/>
  <c r="G330" i="3" l="1"/>
  <c r="H329" i="3"/>
  <c r="G331" i="3" l="1"/>
  <c r="H330" i="3"/>
  <c r="G332" i="3" l="1"/>
  <c r="H331" i="3"/>
  <c r="G333" i="3" l="1"/>
  <c r="H332" i="3"/>
  <c r="G334" i="3" l="1"/>
  <c r="H333" i="3"/>
  <c r="G335" i="3" l="1"/>
  <c r="H334" i="3"/>
  <c r="G336" i="3" l="1"/>
  <c r="H335" i="3"/>
  <c r="G337" i="3" l="1"/>
  <c r="H336" i="3"/>
  <c r="G338" i="3" l="1"/>
  <c r="H337" i="3"/>
  <c r="G339" i="3" l="1"/>
  <c r="H338" i="3"/>
  <c r="G340" i="3" l="1"/>
  <c r="H339" i="3"/>
  <c r="G341" i="3" l="1"/>
  <c r="H340" i="3"/>
  <c r="G342" i="3" l="1"/>
  <c r="H341" i="3"/>
  <c r="G343" i="3" l="1"/>
  <c r="H342" i="3"/>
  <c r="G344" i="3" l="1"/>
  <c r="H343" i="3"/>
  <c r="G345" i="3" l="1"/>
  <c r="H344" i="3"/>
  <c r="G346" i="3" l="1"/>
  <c r="H345" i="3"/>
  <c r="G347" i="3" l="1"/>
  <c r="H346" i="3"/>
  <c r="G348" i="3" l="1"/>
  <c r="H347" i="3"/>
  <c r="G349" i="3" l="1"/>
  <c r="H348" i="3"/>
  <c r="G350" i="3" l="1"/>
  <c r="H349" i="3"/>
  <c r="G351" i="3" l="1"/>
  <c r="H350" i="3"/>
  <c r="G352" i="3" l="1"/>
  <c r="H351" i="3"/>
  <c r="G353" i="3" l="1"/>
  <c r="H352" i="3"/>
  <c r="G354" i="3" l="1"/>
  <c r="H353" i="3"/>
  <c r="G355" i="3" l="1"/>
  <c r="H354" i="3"/>
  <c r="G356" i="3" l="1"/>
  <c r="H355" i="3"/>
  <c r="G357" i="3" l="1"/>
  <c r="H356" i="3"/>
  <c r="G358" i="3" l="1"/>
  <c r="H357" i="3"/>
  <c r="G359" i="3" l="1"/>
  <c r="H358" i="3"/>
  <c r="G360" i="3" l="1"/>
  <c r="H359" i="3"/>
  <c r="G361" i="3" l="1"/>
  <c r="H360" i="3"/>
  <c r="G362" i="3" l="1"/>
  <c r="H361" i="3"/>
  <c r="G363" i="3" l="1"/>
  <c r="H362" i="3"/>
  <c r="G364" i="3" l="1"/>
  <c r="H363" i="3"/>
  <c r="G365" i="3" l="1"/>
  <c r="H364" i="3"/>
  <c r="G366" i="3" l="1"/>
  <c r="H365" i="3"/>
  <c r="G367" i="3" l="1"/>
  <c r="H366" i="3"/>
  <c r="G368" i="3" l="1"/>
  <c r="H367" i="3"/>
  <c r="G369" i="3" l="1"/>
  <c r="H368" i="3"/>
  <c r="G370" i="3" l="1"/>
  <c r="H369" i="3"/>
  <c r="G371" i="3" l="1"/>
  <c r="H370" i="3"/>
  <c r="G372" i="3" l="1"/>
  <c r="H371" i="3"/>
  <c r="G373" i="3" l="1"/>
  <c r="H372" i="3"/>
  <c r="G374" i="3" l="1"/>
  <c r="H373" i="3"/>
  <c r="G375" i="3" l="1"/>
  <c r="H374" i="3"/>
  <c r="G376" i="3" l="1"/>
  <c r="H375" i="3"/>
  <c r="G377" i="3" l="1"/>
  <c r="H376" i="3"/>
  <c r="G378" i="3" l="1"/>
  <c r="H377" i="3"/>
  <c r="G379" i="3" l="1"/>
  <c r="H378" i="3"/>
  <c r="G380" i="3" l="1"/>
  <c r="H379" i="3"/>
  <c r="G381" i="3" l="1"/>
  <c r="H380" i="3"/>
  <c r="G382" i="3" l="1"/>
  <c r="H381" i="3"/>
  <c r="G383" i="3" l="1"/>
  <c r="H382" i="3"/>
  <c r="G384" i="3" l="1"/>
  <c r="H383" i="3"/>
  <c r="G385" i="3" l="1"/>
  <c r="H384" i="3"/>
  <c r="G386" i="3" l="1"/>
  <c r="H385" i="3"/>
  <c r="G387" i="3" l="1"/>
  <c r="H386" i="3"/>
  <c r="G388" i="3" l="1"/>
  <c r="H387" i="3"/>
  <c r="G389" i="3" l="1"/>
  <c r="H388" i="3"/>
  <c r="G390" i="3" l="1"/>
  <c r="H389" i="3"/>
  <c r="G391" i="3" l="1"/>
  <c r="H390" i="3"/>
  <c r="G392" i="3" l="1"/>
  <c r="H391" i="3"/>
  <c r="G393" i="3" l="1"/>
  <c r="H392" i="3"/>
  <c r="G394" i="3" l="1"/>
  <c r="H393" i="3"/>
  <c r="G395" i="3" l="1"/>
  <c r="H394" i="3"/>
  <c r="G396" i="3" l="1"/>
  <c r="H395" i="3"/>
  <c r="G397" i="3" l="1"/>
  <c r="H396" i="3"/>
  <c r="G398" i="3" l="1"/>
  <c r="H397" i="3"/>
  <c r="G399" i="3" l="1"/>
  <c r="H398" i="3"/>
  <c r="G400" i="3" l="1"/>
  <c r="H399" i="3"/>
  <c r="G401" i="3" l="1"/>
  <c r="H400" i="3"/>
  <c r="G402" i="3" l="1"/>
  <c r="H401" i="3"/>
  <c r="G403" i="3" l="1"/>
  <c r="H402" i="3"/>
  <c r="G404" i="3" l="1"/>
  <c r="H403" i="3"/>
  <c r="G405" i="3" l="1"/>
  <c r="H404" i="3"/>
  <c r="G406" i="3" l="1"/>
  <c r="H405" i="3"/>
  <c r="G407" i="3" l="1"/>
  <c r="H406" i="3"/>
  <c r="G408" i="3" l="1"/>
  <c r="H407" i="3"/>
  <c r="G409" i="3" l="1"/>
  <c r="H408" i="3"/>
  <c r="G410" i="3" l="1"/>
  <c r="H409" i="3"/>
  <c r="G411" i="3" l="1"/>
  <c r="H410" i="3"/>
  <c r="G412" i="3" l="1"/>
  <c r="H411" i="3"/>
  <c r="G413" i="3" l="1"/>
  <c r="H412" i="3"/>
  <c r="G414" i="3" l="1"/>
  <c r="H413" i="3"/>
  <c r="G415" i="3" l="1"/>
  <c r="H414" i="3"/>
  <c r="G416" i="3" l="1"/>
  <c r="H415" i="3"/>
  <c r="G417" i="3" l="1"/>
  <c r="H416" i="3"/>
  <c r="G418" i="3" l="1"/>
  <c r="H417" i="3"/>
  <c r="G419" i="3" l="1"/>
  <c r="H418" i="3"/>
  <c r="G420" i="3" l="1"/>
  <c r="H419" i="3"/>
  <c r="G421" i="3" l="1"/>
  <c r="H420" i="3"/>
  <c r="G422" i="3" l="1"/>
  <c r="H421" i="3"/>
  <c r="G423" i="3" l="1"/>
  <c r="H422" i="3"/>
  <c r="G424" i="3" l="1"/>
  <c r="H423" i="3"/>
  <c r="G425" i="3" l="1"/>
  <c r="H424" i="3"/>
  <c r="G426" i="3" l="1"/>
  <c r="H425" i="3"/>
  <c r="G427" i="3" l="1"/>
  <c r="H426" i="3"/>
  <c r="G428" i="3" l="1"/>
  <c r="H427" i="3"/>
  <c r="G429" i="3" l="1"/>
  <c r="H428" i="3"/>
  <c r="G430" i="3" l="1"/>
  <c r="H429" i="3"/>
  <c r="G431" i="3" l="1"/>
  <c r="H430" i="3"/>
  <c r="G432" i="3" l="1"/>
  <c r="H431" i="3"/>
  <c r="G433" i="3" l="1"/>
  <c r="H432" i="3"/>
  <c r="G434" i="3" l="1"/>
  <c r="H433" i="3"/>
  <c r="G435" i="3" l="1"/>
  <c r="H434" i="3"/>
  <c r="G436" i="3" l="1"/>
  <c r="H435" i="3"/>
  <c r="G437" i="3" l="1"/>
  <c r="H436" i="3"/>
  <c r="G438" i="3" l="1"/>
  <c r="H437" i="3"/>
  <c r="G439" i="3" l="1"/>
  <c r="H438" i="3"/>
  <c r="G440" i="3" l="1"/>
  <c r="H439" i="3"/>
  <c r="G441" i="3" l="1"/>
  <c r="H440" i="3"/>
  <c r="G442" i="3" l="1"/>
  <c r="H441" i="3"/>
  <c r="G443" i="3" l="1"/>
  <c r="H442" i="3"/>
  <c r="G444" i="3" l="1"/>
  <c r="H443" i="3"/>
  <c r="G445" i="3" l="1"/>
  <c r="H444" i="3"/>
  <c r="G446" i="3" l="1"/>
  <c r="H445" i="3"/>
  <c r="G447" i="3" l="1"/>
  <c r="H446" i="3"/>
  <c r="G448" i="3" l="1"/>
  <c r="H447" i="3"/>
  <c r="G449" i="3" l="1"/>
  <c r="H448" i="3"/>
  <c r="G450" i="3" l="1"/>
  <c r="H450" i="3" s="1"/>
  <c r="H449" i="3"/>
</calcChain>
</file>

<file path=xl/sharedStrings.xml><?xml version="1.0" encoding="utf-8"?>
<sst xmlns="http://schemas.openxmlformats.org/spreadsheetml/2006/main" count="3634" uniqueCount="2173">
  <si>
    <t>PG.MolecularWeight</t>
  </si>
  <si>
    <t>PG.ProteinAccessions</t>
  </si>
  <si>
    <t>PG.ProteinDescriptions</t>
  </si>
  <si>
    <t>PG.NrOfStrippedSequencesIdentified (Experiment-wide)</t>
  </si>
  <si>
    <t>[1] 20250220_JCVI_Syn3_rep1.raw.PG.NrOfStrippedSequencesIdentified</t>
  </si>
  <si>
    <t>[2] 20250220_JCVI_Syn3_rep2.raw.PG.NrOfStrippedSequencesIdentified</t>
  </si>
  <si>
    <t>[3] 20250220_JCVI_Syn3_rep3.raw.PG.NrOfStrippedSequencesIdentified</t>
  </si>
  <si>
    <t>[1] 20250220_JCVI_Syn3_rep1.raw.PG.Quantity</t>
  </si>
  <si>
    <t>[2] 20250220_JCVI_Syn3_rep2.raw.PG.Quantity</t>
  </si>
  <si>
    <t>[3] 20250220_JCVI_Syn3_rep3.raw.PG.Quantity</t>
  </si>
  <si>
    <t>[1] 20250220_JCVI_Syn3_rep1.raw.PG.Log2Quantity</t>
  </si>
  <si>
    <t>[2] 20250220_JCVI_Syn3_rep2.raw.PG.Log2Quantity</t>
  </si>
  <si>
    <t>[3] 20250220_JCVI_Syn3_rep3.raw.PG.Log2Quantity</t>
  </si>
  <si>
    <t>[1] 20250220_JCVI_Syn3_rep1.raw.PG.IBAQ</t>
  </si>
  <si>
    <t>[2] 20250220_JCVI_Syn3_rep2.raw.PG.IBAQ</t>
  </si>
  <si>
    <t>[3] 20250220_JCVI_Syn3_rep3.raw.PG.IBAQ</t>
  </si>
  <si>
    <t>CP016816.2_prot_AVX54569.1_1</t>
  </si>
  <si>
    <t>[gene=dnaA] [locus_tag=JCVISYN3A_0001] [protein=Chromosomal replication initiator protein] [protein_id=AVX54569.1] [location=1..1353] [gbkey=CDS]</t>
  </si>
  <si>
    <t>CP016816.2_prot_AVX54570.1_2</t>
  </si>
  <si>
    <t>[gene=dnaN] [locus_tag=JCVISYN3A_0002] [protein=DNA polymerase III subunit beta] [protein_id=AVX54570.1] [location=1511..2638] [gbkey=CDS]</t>
  </si>
  <si>
    <t>CP016816.2_prot_AVX54571.1_3</t>
  </si>
  <si>
    <t>[gene=rnmV] [locus_tag=JCVISYN3A_0003] [protein=Ribonuclease M5] [protein_id=AVX54571.1] [location=2675..3217] [gbkey=CDS]</t>
  </si>
  <si>
    <t>CP016816.2_prot_AVX54572.1_4</t>
  </si>
  <si>
    <t>[gene=ksgA] [locus_tag=JCVISYN3A_0004] [protein=16S rRNA (adenine(1518)-N(6)/adenine(1519)-N(6))-dimethyltransferase] [protein_id=AVX54572.1] [location=3207..4007] [gbkey=CDS]</t>
  </si>
  <si>
    <t>CP016816.2_prot_AVX54573.1_5</t>
  </si>
  <si>
    <t>[locus_tag=JCVISYN3A_0005] [protein=Uncharacterized protein] [protein_id=AVX54573.1] [location=4064..5155] [gbkey=CDS]</t>
  </si>
  <si>
    <t>CP016816.2_prot_AVX54574.1_6</t>
  </si>
  <si>
    <t>[gene=gyrB] [locus_tag=JCVISYN3A_0006] [protein=DNA gyrase subunit B] [protein_id=AVX54574.1] [location=5515..7419] [gbkey=CDS]</t>
  </si>
  <si>
    <t>CP016816.2_prot_AVX54575.1_7</t>
  </si>
  <si>
    <t>[gene=gyrA] [locus_tag=JCVISYN3A_0007] [protein=DNA gyrase subunit A] [protein_id=AVX54575.1] [location=7435..9939] [gbkey=CDS]</t>
  </si>
  <si>
    <t>CP016816.2_prot_AVX54576.1_8</t>
  </si>
  <si>
    <t>[gene=rnsD; uptD] [locus_tag=JCVISYN3A_0008] [protein=Nucleoside ABC transporter permease] [protein_id=AVX54576.1] [location=complement(9991..10968)] [gbkey=CDS]</t>
  </si>
  <si>
    <t>CP016816.2_prot_AVX54577.1_9</t>
  </si>
  <si>
    <t>[gene=rnsC; uptD] [locus_tag=JCVISYN3A_0009] [protein=Nucleoside ABC transporter permease] [protein_id=AVX54577.1] [location=complement(10968..13535)] [gbkey=CDS]</t>
  </si>
  <si>
    <t>CP016816.2_prot_AVX54578.1_10</t>
  </si>
  <si>
    <t>[gene=rnsA; uptA] [locus_tag=JCVISYN3A_0010] [protein=Nucleoside ABC transporter ATP-binding protein] [protein_id=AVX54578.1] [location=complement(13525..15141)] [gbkey=CDS]</t>
  </si>
  <si>
    <t>CP016816.2_prot_AVX54579.1_11</t>
  </si>
  <si>
    <t>[gene=rnsB; uptB] [locus_tag=JCVISYN3A_0011] [protein=Nucleoside ABC transporter substrate-binding protein] [protein_id=AVX54579.1] [location=complement(15153..16799)] [gbkey=CDS]</t>
  </si>
  <si>
    <t>CP016816.2_prot_AVX54580.1_12</t>
  </si>
  <si>
    <t>[gene=metRS] [locus_tag=JCVISYN3A_0012] [protein=Methionine--tRNA ligase] [protein_id=AVX54580.1] [location=complement(16986..18515)] [gbkey=CDS]</t>
  </si>
  <si>
    <t>CP016816.2_prot_AVX54582.1_14</t>
  </si>
  <si>
    <t>[gene=tetM] [locus_tag=JCVISYN3A_0913] [protein=Tetracycline resistance ribosomal protection protein] [protein_id=AVX54582.1] [location=20416..22335] [gbkey=CDS]</t>
  </si>
  <si>
    <t>CP016816.2_prot_AVX54583.1_15</t>
  </si>
  <si>
    <t>[gene=rpsR] [locus_tag=JCVISYN3A_0025] [protein=30S ribosomal protein S18] [protein_id=AVX54583.1] [location=complement(22769..22996)] [gbkey=CDS]</t>
  </si>
  <si>
    <t>CP016816.2_prot_AVX54584.1_16</t>
  </si>
  <si>
    <t>[gene=priB] [locus_tag=JCVISYN3A_0026] [protein=Single-stranded DNA-binding protein] [protein_id=AVX54584.1] [location=complement(23016..23456)] [gbkey=CDS]</t>
  </si>
  <si>
    <t>CP016816.2_prot_AVX54585.1_17</t>
  </si>
  <si>
    <t>[gene=rpsF] [locus_tag=JCVISYN3A_0027] [protein=30S ribosomal protein S6] [protein_id=AVX54585.1] [location=complement(23468..23881)] [gbkey=CDS]</t>
  </si>
  <si>
    <t>CP016816.2_prot_AVX54586.1_18</t>
  </si>
  <si>
    <t>[locus_tag=JCVISYN3A_0029] [protein=Uncharacterized FMN-dependent NADH-azoreductase] [protein_id=AVX54586.1] [location=24273..24872] [gbkey=CDS]</t>
  </si>
  <si>
    <t>CP016816.2_prot_AVX54587.1_19</t>
  </si>
  <si>
    <t>[locus_tag=JCVISYN3A_0030] [protein=Uncharacterized ABC transporter ATP-binding protein] [protein_id=AVX54587.1] [location=complement(24909..25943)] [gbkey=CDS]</t>
  </si>
  <si>
    <t>CP016816.2_prot_AVX54588.1_20</t>
  </si>
  <si>
    <t>[locus_tag=JCVISYN3A_0033] [protein=Uncharacterized protein] [protein_id=AVX54588.1] [location=complement(26204..29362)] [gbkey=CDS]</t>
  </si>
  <si>
    <t>CP016816.2_prot_AVX54589.1_21</t>
  </si>
  <si>
    <t>[locus_tag=JCVISYN3A_0034] [protein=Uncharacterized efflux ABC transporter permease] [protein_id=AVX54589.1] [location=29509..34896] [gbkey=CDS]</t>
  </si>
  <si>
    <t>CP016816.2_prot_AVX54590.1_22</t>
  </si>
  <si>
    <t>[gene=ftsH] [locus_tag=JCVISYN3A_0039] [protein=Membrane anchored AAA+ protease] [protein_id=AVX54590.1] [location=complement(35062..37008)] [gbkey=CDS]</t>
  </si>
  <si>
    <t>CP016816.2_prot_AVX54591.1_23</t>
  </si>
  <si>
    <t>[gene=tilS] [locus_tag=JCVISYN3A_0040] [protein=tRNA lysidine(34) synthetase] [protein_id=AVX54591.1] [location=complement(37240..38445)] [gbkey=CDS]</t>
  </si>
  <si>
    <t>CP016816.2_prot_AVX54592.1_24</t>
  </si>
  <si>
    <t>[locus_tag=JCVISYN3A_0042] [protein=Uncharacterized transcriptional regulator] [protein_id=AVX54592.1] [location=complement(38448..39275)] [gbkey=CDS]</t>
  </si>
  <si>
    <t>CP016816.2_prot_AVX54593.1_25</t>
  </si>
  <si>
    <t>[gene=yabD] [locus_tag=JCVISYN3A_0043] [protein=Uncharacterized methyltransferase] [protein_id=AVX54593.1] [location=complement(39327..40049)] [gbkey=CDS]</t>
  </si>
  <si>
    <t>CP016816.2_prot_AVX54594.1_26</t>
  </si>
  <si>
    <t>[gene=holA] [locus_tag=JCVISYN3A_0044] [protein=DNA polymerase III subunit delta] [protein_id=AVX54594.1] [location=complement(40049..40789)] [gbkey=CDS]</t>
  </si>
  <si>
    <t>CP016816.2_prot_AVX54595.1_27</t>
  </si>
  <si>
    <t>[gene=tmk] [locus_tag=JCVISYN3A_0045] [protein=dTMP kinase] [protein_id=AVX54595.1] [location=complement(40767..41408)] [gbkey=CDS]</t>
  </si>
  <si>
    <t>CP016816.2_prot_AVX54596.1_28</t>
  </si>
  <si>
    <t>[gene=recR] [locus_tag=JCVISYN3A_0046] [protein=Recombination protein] [protein_id=AVX54596.1] [location=complement(41411..42001)] [gbkey=CDS]</t>
  </si>
  <si>
    <t>CP016816.2_prot_AVX54597.1_29</t>
  </si>
  <si>
    <t>[gene=dnaX] [locus_tag=JCVISYN3A_0047] [protein=DNA polymerase III subunit gamma and tau] [protein_id=AVX54597.1] [location=complement(42003..44009)] [gbkey=CDS]</t>
  </si>
  <si>
    <t>CP016816.2_prot_AVX54598.1_31</t>
  </si>
  <si>
    <t>[gene=ahpC] [locus_tag=JCVISYN3A_0054] [protein=Uncharacterized peroxiredoxin] [protein_id=AVX54598.1] [location=complement(45293..45742)] [gbkey=CDS]</t>
  </si>
  <si>
    <t>CP016816.2_prot_AVX54599.1_32</t>
  </si>
  <si>
    <t>[locus_tag=JCVISYN3A_0060] [protein=Uncharacterized protein] [protein_id=AVX54599.1] [location=46274..47098] [gbkey=CDS]</t>
  </si>
  <si>
    <t>CP016816.2_prot_AVX54600.1_33</t>
  </si>
  <si>
    <t>[gene=serRS] [locus_tag=JCVISYN3A_0061] [protein=Serine--tRNA ligase] [protein_id=AVX54600.1] [location=47181..48449] [gbkey=CDS]</t>
  </si>
  <si>
    <t>CP016816.2_prot_AVX54601.1_34</t>
  </si>
  <si>
    <t>[gene=dusB] [locus_tag=JCVISYN3A_0063] [protein=Uncharacterized tRNA dihydrouridine synthase] [protein_id=AVX54601.1] [location=48559..49533] [gbkey=CDS]</t>
  </si>
  <si>
    <t>CP016816.2_prot_AVX54602.1_35</t>
  </si>
  <si>
    <t>[gene=lysRS] [locus_tag=JCVISYN3A_0064] [protein=Lysine--tRNA ligase] [protein_id=AVX54602.1] [location=49536..51038] [gbkey=CDS]</t>
  </si>
  <si>
    <t>CP016816.2_prot_AVX54603.1_36</t>
  </si>
  <si>
    <t>[gene=trxA] [locus_tag=JCVISYN3A_0065] [protein=Thioredoxin] [protein_id=AVX54603.1] [location=complement(51128..51436)] [gbkey=CDS]</t>
  </si>
  <si>
    <t>CP016816.2_prot_AVX54604.1_37</t>
  </si>
  <si>
    <t>[locus_tag=JCVISYN3A_0066] [protein=Low specificity hydrolase] [protein_id=AVX54604.1] [location=complement(51447..52289)] [gbkey=CDS]</t>
  </si>
  <si>
    <t>CP016816.2_prot_AVX54605.1_38</t>
  </si>
  <si>
    <t>[gene=asnRS] [locus_tag=JCVISYN3A_0076] [protein=Asparagine--tRNA ligase] [protein_id=AVX54605.1] [location=complement(58156..59520)] [gbkey=CDS]</t>
  </si>
  <si>
    <t>CP016816.2_prot_AVX54606.1_39</t>
  </si>
  <si>
    <t>[locus_tag=JCVISYN3A_0077] [protein=Uncharacterized hydrolase] [protein_id=AVX54606.1] [location=complement(59529..60368)] [gbkey=CDS]</t>
  </si>
  <si>
    <t>CP016816.2_prot_AVX54607.1_40</t>
  </si>
  <si>
    <t>[gene=tsaD] [locus_tag=JCVISYN3A_0079] [protein=tRNA (adenosine(37)-N6)-threonylcarbamoyltransferase complex transferase subunit D] [protein_id=AVX54607.1] [location=complement(60404..61360)] [gbkey=CDS]</t>
  </si>
  <si>
    <t>CP016816.2_prot_AVX54608.1_41</t>
  </si>
  <si>
    <t>[locus_tag=JCVISYN3A_0080] [protein=Uncharacterized protein] [protein_id=AVX54608.1] [location=complement(61455..61676)] [gbkey=CDS]</t>
  </si>
  <si>
    <t>CP016816.2_prot_AVX54609.1_42</t>
  </si>
  <si>
    <t>[gene=mnmE; trmE] [locus_tag=JCVISYN3A_0081] [protein=tRNA uridine(34) 5-carboxymethylaminomethyl synthesis GTPase] [protein_id=AVX54609.1] [location=61876..63234] [gbkey=CDS]</t>
  </si>
  <si>
    <t>CP016816.2_prot_AVX54610.1_43</t>
  </si>
  <si>
    <t>[gene=rpsT] [locus_tag=JCVISYN3A_0082] [protein=30S ribosomal protein S20] [protein_id=AVX54610.1] [location=complement(63285..63530)] [gbkey=CDS]</t>
  </si>
  <si>
    <t>CP016816.2_prot_AVX54611.1_44</t>
  </si>
  <si>
    <t>[locus_tag=JCVISYN3A_0094] [protein=Uncharacterized protein] [protein_id=AVX54611.1] [location=complement(63664..64380)] [gbkey=CDS]</t>
  </si>
  <si>
    <t>CP016816.2_prot_AVX54612.1_45</t>
  </si>
  <si>
    <t>[gene=secA] [locus_tag=JCVISYN3A_0095] [protein=Preprotein translocase subunit A] [protein_id=AVX54612.1] [location=complement(64495..67329)] [gbkey=CDS]</t>
  </si>
  <si>
    <t>CP016816.2_prot_AVX54613.1_46</t>
  </si>
  <si>
    <t>[gene=yycJ] [locus_tag=JCVISYN3A_0097] [protein=Uncharacterized 5'-3' exonuclease] [protein_id=AVX54613.1] [location=67494..68405] [gbkey=CDS]</t>
  </si>
  <si>
    <t>CP016816.2_prot_AVX54614.1_47</t>
  </si>
  <si>
    <t>[gene=xseB] [locus_tag=JCVISYN3A_0105] [protein=Exodeoxyribonuclease VII small subunit] [protein_id=AVX54614.1] [location=complement(68809..69024)] [gbkey=CDS]</t>
  </si>
  <si>
    <t>CP016816.2_prot_AVX54615.1_48</t>
  </si>
  <si>
    <t>[gene=xseA] [locus_tag=JCVISYN3A_0106] [protein=Exodeoxyribonuclease VII large subunit] [protein_id=AVX54615.1] [location=complement(69014..70423)] [gbkey=CDS]</t>
  </si>
  <si>
    <t>CP016816.2_prot_AVX54616.1_49</t>
  </si>
  <si>
    <t>[gene=nusB] [locus_tag=JCVISYN3A_0107] [protein=Transcription antitermination factor] [protein_id=AVX54616.1] [location=complement(70425..70823)] [gbkey=CDS]</t>
  </si>
  <si>
    <t>CP016816.2_prot_AVX54617.1_50</t>
  </si>
  <si>
    <t>[locus_tag=JCVISYN3A_0108] [protein=Uncharacterized lipoprotein] [protein_id=AVX54617.1] [location=complement(70835..71947)] [gbkey=CDS]</t>
  </si>
  <si>
    <t>CP016816.2_prot_AVX54618.1_51</t>
  </si>
  <si>
    <t>[locus_tag=JCVISYN3A_0109] [protein=Deoxyribonuclease IV] [protein_id=AVX54618.1] [location=complement(71973..72842)] [gbkey=CDS]</t>
  </si>
  <si>
    <t>CP016816.2_prot_AVX54619.1_52</t>
  </si>
  <si>
    <t>[gene=bcsA] [locus_tag=JCVISYN3A_0113] [protein=Glycolipid synthase A] [protein_id=AVX54619.1] [location=73088..74437] [gbkey=CDS]</t>
  </si>
  <si>
    <t>CP016816.2_prot_AVX54620.1_53</t>
  </si>
  <si>
    <t>[gene=bcsB; cps] [locus_tag=JCVISYN3A_0114] [protein=Glycolipid synthase B] [protein_id=AVX54620.1] [location=complement(74511..75431)] [gbkey=CDS]</t>
  </si>
  <si>
    <t>CP016816.2_prot_AVX54621.1_54</t>
  </si>
  <si>
    <t>[gene=galU; gtaB] [locus_tag=JCVISYN3A_0115] [protein=UTP--glucose-1-phosphate uridylyltransferase] [protein_id=AVX54621.1] [location=complement(75879..76751)] [gbkey=CDS]</t>
  </si>
  <si>
    <t>CP016816.2_prot_AVX54622.1_55</t>
  </si>
  <si>
    <t>[locus_tag=JCVISYN3A_0116] [protein=Uncharacterized protein] [protein_id=AVX54622.1] [location=complement(76936..77376)] [gbkey=CDS]</t>
  </si>
  <si>
    <t>CP016816.2_prot_AVX54623.1_56</t>
  </si>
  <si>
    <t>[gene=plsY] [locus_tag=JCVISYN3A_0117] [protein=Acyl-phosphate glycerol 3-phosphate acyltransferase] [protein_id=AVX54623.1] [location=77446..78207] [gbkey=CDS]</t>
  </si>
  <si>
    <t>CP016816.2_prot_AVX54624.1_57</t>
  </si>
  <si>
    <t>[gene=gluRS] [locus_tag=JCVISYN3A_0126] [protein=Glutamate--tRNA ligase] [protein_id=AVX54624.1] [location=78403..79854] [gbkey=CDS]</t>
  </si>
  <si>
    <t>CP016816.2_prot_AVX54625.1_58</t>
  </si>
  <si>
    <t>[locus_tag=JCVISYN3A_0127] [protein=Uncharacterized phosphohydrolase] [protein_id=AVX54625.1] [location=79857..81071] [gbkey=CDS]</t>
  </si>
  <si>
    <t>CP016816.2_prot_AVX54626.1_59</t>
  </si>
  <si>
    <t>[gene=rpoE] [locus_tag=JCVISYN3A_0128] [protein=DNA-directed RNA polymerase subunit delta] [protein_id=AVX54626.1] [location=81097..81525] [gbkey=CDS]</t>
  </si>
  <si>
    <t>CP016816.2_prot_AVX54627.1_60</t>
  </si>
  <si>
    <t>[gene=pyrG] [locus_tag=JCVISYN3A_0129] [protein=CTP synthase] [protein_id=AVX54627.1] [location=81617..83215] [gbkey=CDS]</t>
  </si>
  <si>
    <t>CP016816.2_prot_AVX54628.1_61</t>
  </si>
  <si>
    <t>[gene=fbaA] [locus_tag=JCVISYN3A_0131] [protein=Fructose-1,6-bisphosphate aldolase] [protein_id=AVX54628.1] [location=83504..84397] [gbkey=CDS]</t>
  </si>
  <si>
    <t>CP016816.2_prot_AVX54629.1_62</t>
  </si>
  <si>
    <t>[gene=ietA] [locus_tag=JCVISYN3A_0132] [protein=Toxin-antitoxin AAA ATPase] [protein_id=AVX54629.1] [location=84546..85607] [gbkey=CDS]</t>
  </si>
  <si>
    <t>CP016816.2_prot_AVX54630.1_63</t>
  </si>
  <si>
    <t>[gene=ietS] [locus_tag=JCVISYN3A_0133] [protein=Toxin-antitoxin serine protease] [protein_id=AVX54630.1] [location=85600..87873] [gbkey=CDS]</t>
  </si>
  <si>
    <t>CP016816.2_prot_AVX54631.1_64</t>
  </si>
  <si>
    <t>[gene=rpmE] [locus_tag=JCVISYN3A_0137] [protein=50S ribosomal protein L31] [protein_id=AVX54631.1] [location=88733..89011] [gbkey=CDS]</t>
  </si>
  <si>
    <t>CP016816.2_prot_AVX54632.1_65</t>
  </si>
  <si>
    <t>[locus_tag=JCVISYN3A_0138] [protein=Uncharacterized protein] [protein_id=AVX54632.1] [location=89084..90982] [gbkey=CDS]</t>
  </si>
  <si>
    <t>CP016816.2_prot_AVX54633.1_66</t>
  </si>
  <si>
    <t>[gene=ytqI; orn] [locus_tag=JCVISYN3A_0139] [protein=NanoRNAse] [protein_id=AVX54633.1] [location=90992..91942] [gbkey=CDS]</t>
  </si>
  <si>
    <t>CP016816.2_prot_AVX54634.1_67</t>
  </si>
  <si>
    <t>[gene=tdk] [locus_tag=JCVISYN3A_0140] [protein=Thymidine kinase] [protein_id=AVX54634.1] [location=91944..92573] [gbkey=CDS]</t>
  </si>
  <si>
    <t>CP016816.2_prot_AVX54635.1_68</t>
  </si>
  <si>
    <t>[gene=prfA] [locus_tag=JCVISYN3A_0141] [protein=Peptide chain release factor 1] [protein_id=AVX54635.1] [location=92576..93670] [gbkey=CDS]</t>
  </si>
  <si>
    <t>CP016816.2_prot_AVX54636.1_69</t>
  </si>
  <si>
    <t>[gene=prmC] [locus_tag=JCVISYN3A_0142] [protein=Protein-(glutamine-N5) methyltransferase, release factor-specific] [protein_id=AVX54636.1] [location=93663..94511] [gbkey=CDS]</t>
  </si>
  <si>
    <t>CP016816.2_prot_AVX54637.1_70</t>
  </si>
  <si>
    <t>[locus_tag=JCVISYN3A_0143] [protein=Uncharacterized protein] [protein_id=AVX54637.1] [location=94520..95992] [gbkey=CDS]</t>
  </si>
  <si>
    <t>CP016816.2_prot_AVX54638.1_71</t>
  </si>
  <si>
    <t>[gene=tsaC] [locus_tag=JCVISYN3A_0144] [protein=tRNA (adenosine(37)-N6)-threonylcarbamoyltransferase complex transferase subunit] [protein_id=AVX54638.1] [location=96001..96501] [gbkey=CDS]</t>
  </si>
  <si>
    <t>CP016816.2_prot_AVX54639.1_72</t>
  </si>
  <si>
    <t>[locus_tag=JCVISYN3A_0145] [protein=Uncharacterized acetyltransferase] [protein_id=AVX54639.1] [location=96616..97530] [gbkey=CDS]</t>
  </si>
  <si>
    <t>CP016816.2_prot_AVX54640.1_73</t>
  </si>
  <si>
    <t>[locus_tag=JCVISYN3A_0146] [protein=Uncharacterized protein] [protein_id=AVX54640.1] [location=97759..98466] [gbkey=CDS]</t>
  </si>
  <si>
    <t>CP016816.2_prot_AVX54641.1_74</t>
  </si>
  <si>
    <t>[gene=clsA] [locus_tag=JCVISYN3A_0147] [protein=Cardiolipin synthase] [protein_id=AVX54641.1] [location=98466..99995] [gbkey=CDS]</t>
  </si>
  <si>
    <t>CP016816.2_prot_AVX54642.1_75</t>
  </si>
  <si>
    <t>[gene=rpsL] [locus_tag=JCVISYN3A_0148] [protein=30S ribosomal protein S12] [protein_id=AVX54642.1] [location=100119..100538] [gbkey=CDS]</t>
  </si>
  <si>
    <t>CP016816.2_prot_AVX54643.1_76</t>
  </si>
  <si>
    <t>[gene=rpsG] [locus_tag=JCVISYN3A_0149] [protein=30S ribosomal protein S7] [protein_id=AVX54643.1] [location=100625..101092] [gbkey=CDS]</t>
  </si>
  <si>
    <t>CP016816.2_prot_AVX54644.1_77</t>
  </si>
  <si>
    <t>[locus_tag=JCVISYN3A_0150] [protein=Translation elongation factor G] [protein_id=AVX54644.1] [location=101117..103186] [gbkey=CDS]</t>
  </si>
  <si>
    <t>CP016816.2_prot_AVX54645.1_78</t>
  </si>
  <si>
    <t>[locus_tag=JCVISYN3A_0151] [protein=Translation elongation factor Tu] [protein_id=AVX54645.1] [location=103318..104505] [gbkey=CDS]</t>
  </si>
  <si>
    <t>CP016816.2_prot_AVX54646.1_79</t>
  </si>
  <si>
    <t>[gene=alaRS] [locus_tag=JCVISYN3A_0163] [protein=Alanine--tRNA ligase] [protein_id=AVX54646.1] [location=complement(105431..108121)] [gbkey=CDS]</t>
  </si>
  <si>
    <t>CP016816.2_prot_AVX54647.1_80</t>
  </si>
  <si>
    <t>[locus_tag=JCVISYN3A_0164] [protein=Uncharacterized protein] [protein_id=AVX54647.1] [location=complement(108195..108689)] [gbkey=CDS]</t>
  </si>
  <si>
    <t>CP016816.2_prot_AVX54648.1_81</t>
  </si>
  <si>
    <t>[gene=amiC] [locus_tag=JCVISYN3A_0165] [protein=Oligopeptide ABC transporter permease] [protein_id=AVX54648.1] [location=108907..110151] [gbkey=CDS]</t>
  </si>
  <si>
    <t>CP016816.2_prot_AVX54649.1_82</t>
  </si>
  <si>
    <t>[locus_tag=JCVISYN3A_0166] [protein=Oligopeptide ABC transporter permease] [protein_id=AVX54649.1] [location=110167..111177] [gbkey=CDS]</t>
  </si>
  <si>
    <t>CP016816.2_prot_AVX54650.1_83</t>
  </si>
  <si>
    <t>[gene=amiE] [locus_tag=JCVISYN3A_0167] [protein=Oligopeptide ABC transporter ATP-binding protein] [protein_id=AVX54650.1] [location=111191..112891] [gbkey=CDS]</t>
  </si>
  <si>
    <t>CP016816.2_prot_AVX54651.1_84</t>
  </si>
  <si>
    <t>[gene=amiF] [locus_tag=JCVISYN3A_0168] [protein=Oligopeptide ABC transporter ATP-binding protein] [protein_id=AVX54651.1] [location=112893..114761] [gbkey=CDS]</t>
  </si>
  <si>
    <t>CP016816.2_prot_AVX54652.1_85</t>
  </si>
  <si>
    <t>[gene=amiA] [locus_tag=JCVISYN3A_0169] [protein=Oligopeptide ABC transporter substrate-binding protein] [protein_id=AVX54652.1] [location=114778..117879] [gbkey=CDS]</t>
  </si>
  <si>
    <t>CP016816.2_prot_AVX54653.1_86</t>
  </si>
  <si>
    <t>[gene=potC] [locus_tag=JCVISYN3A_0195] [protein=Spermidine/putrescine ABC transporter permease] [protein_id=AVX54653.1] [location=complement(118738..121848)] [gbkey=CDS]</t>
  </si>
  <si>
    <t>CP016816.2_prot_AVX54654.1_87</t>
  </si>
  <si>
    <t>[gene=potB] [locus_tag=JCVISYN3A_0196] [protein=Spermidine/putrescine ABC transporter permease] [protein_id=AVX54654.1] [location=complement(121833..122825)] [gbkey=CDS]</t>
  </si>
  <si>
    <t>CP016816.2_prot_AVX54655.1_88</t>
  </si>
  <si>
    <t>[gene=potA] [locus_tag=JCVISYN3A_0197] [protein=Spermidine/putrescine ABC transporter ATP-binding protein] [protein_id=AVX54655.1] [location=complement(122825..123880)] [gbkey=CDS]</t>
  </si>
  <si>
    <t>CP016816.2_prot_AVX54656.1_89</t>
  </si>
  <si>
    <t>[gene=rplT] [locus_tag=JCVISYN3A_0198] [protein=50S ribosomal protein L20] [protein_id=AVX54656.1] [location=complement(124254..124613)] [gbkey=CDS]</t>
  </si>
  <si>
    <t>CP016816.2_prot_AVX54658.1_91</t>
  </si>
  <si>
    <t>[gene=infC] [locus_tag=JCVISYN3A_0200] [protein=Translation initiation factor IF-3] [protein_id=AVX54658.1] [location=complement(124849..125394)] [gbkey=CDS]</t>
  </si>
  <si>
    <t>CP016816.2_prot_AVX54659.1_92</t>
  </si>
  <si>
    <t>[gene=def] [locus_tag=JCVISYN3A_0201] [protein=Peptide deformylase] [protein_id=AVX54659.1] [location=complement(125583..126185)] [gbkey=CDS]</t>
  </si>
  <si>
    <t>CP016816.2_prot_AVX54660.1_93</t>
  </si>
  <si>
    <t>[gene=rsmD] [locus_tag=JCVISYN3A_0202] [protein=16S rRNA (guanine(966)-N(2))-methyltransferase] [protein_id=AVX54660.1] [location=126259..126816] [gbkey=CDS]</t>
  </si>
  <si>
    <t>CP016816.2_prot_AVX54661.1_94</t>
  </si>
  <si>
    <t>[gene=gmk] [locus_tag=JCVISYN3A_0203] [protein=Guanylate kinase] [protein_id=AVX54661.1] [location=126819..127712] [gbkey=CDS]</t>
  </si>
  <si>
    <t>CP016816.2_prot_AVX54662.1_95</t>
  </si>
  <si>
    <t>[gene=eno] [locus_tag=JCVISYN3A_0213] [protein=Phosphopyruvate hydratase] [protein_id=AVX54662.1] [location=127920..129275] [gbkey=CDS]</t>
  </si>
  <si>
    <t>CP016816.2_prot_AVX54663.1_96</t>
  </si>
  <si>
    <t>[gene=pgpA] [locus_tag=JCVISYN3A_0214] [protein=Phosphatidylglycerophosphatase] [protein_id=AVX54663.1] [location=129342..130163] [gbkey=CDS]</t>
  </si>
  <si>
    <t>CP016816.2_prot_AVX54664.1_97</t>
  </si>
  <si>
    <t>[gene=yrrK; yqgF] [locus_tag=JCVISYN3A_0215] [protein=Putative pre-16S rRNA nuclease] [protein_id=AVX54664.1] [location=130165..130596] [gbkey=CDS]</t>
  </si>
  <si>
    <t>CP016816.2_prot_AVX54665.1_98</t>
  </si>
  <si>
    <t>[gene=hptA] [locus_tag=JCVISYN3A_0216] [protein=Hypoxanthine phosphoribosyltransferase] [protein_id=AVX54665.1] [location=130602..131174] [gbkey=CDS]</t>
  </si>
  <si>
    <t>CP016816.2_prot_AVX54666.1_99</t>
  </si>
  <si>
    <t>[gene=glpK] [locus_tag=JCVISYN3A_0218] [protein=Glycerol kinase] [protein_id=AVX54666.1] [location=complement(131274..132791)] [gbkey=CDS]</t>
  </si>
  <si>
    <t>CP016816.2_prot_AVX54667.1_100</t>
  </si>
  <si>
    <t>[gene=pfkA] [locus_tag=JCVISYN3A_0220] [protein=6-Phosphofructokinase] [protein_id=AVX54667.1] [location=133142..134122] [gbkey=CDS]</t>
  </si>
  <si>
    <t>CP016816.2_prot_AVX54668.1_101</t>
  </si>
  <si>
    <t>[gene=pyk] [locus_tag=JCVISYN3A_0221] [protein=Pyruvate kinase] [protein_id=AVX54668.1] [location=134193..135629] [gbkey=CDS]</t>
  </si>
  <si>
    <t>CP016816.2_prot_AVX54669.1_102</t>
  </si>
  <si>
    <t>[gene=thrRS] [locus_tag=JCVISYN3A_0222] [protein=Threonine--tRNA ligase] [protein_id=AVX54669.1] [location=135894..137813] [gbkey=CDS]</t>
  </si>
  <si>
    <t>CP016816.2_prot_AVX54670.1_103</t>
  </si>
  <si>
    <t>[gene=pdhC] [locus_tag=JCVISYN3A_0227] [protein=Branched-chain alpha-keto acid dehydrogenase subunit E2] [protein_id=AVX54670.1] [location=138324..139649] [gbkey=CDS]</t>
  </si>
  <si>
    <t>CP016816.2_prot_AVX54671.1_104</t>
  </si>
  <si>
    <t>[gene=lpdA] [locus_tag=JCVISYN3A_0228] [protein=Dihydrolipoyl dehydrogenase] [protein_id=AVX54671.1] [location=139668..141557] [gbkey=CDS]</t>
  </si>
  <si>
    <t>CP016816.2_prot_AVX54672.1_105</t>
  </si>
  <si>
    <t>[gene=pta] [locus_tag=JCVISYN3A_0229] [protein=Phosphate acetyltransferase] [protein_id=AVX54672.1] [location=141579..142547] [gbkey=CDS]</t>
  </si>
  <si>
    <t>CP016816.2_prot_AVX54673.1_106</t>
  </si>
  <si>
    <t>[gene=ackA] [locus_tag=JCVISYN3A_0230] [protein=Acetate kinase] [protein_id=AVX54673.1] [location=142560..143741] [gbkey=CDS]</t>
  </si>
  <si>
    <t>CP016816.2_prot_AVX54674.1_107</t>
  </si>
  <si>
    <t>[gene=ptsI] [locus_tag=JCVISYN3A_0233] [protein=Phosphoenolpyruvate--protein phosphotransferase] [protein_id=AVX54674.1] [location=143903..145624] [gbkey=CDS]</t>
  </si>
  <si>
    <t>CP016816.2_prot_AVX54675.1_108</t>
  </si>
  <si>
    <t>[gene=crr] [locus_tag=JCVISYN3A_0234] [protein=PTS glucose transporter subunit IIA] [protein_id=AVX54675.1] [location=145706..146170] [gbkey=CDS]</t>
  </si>
  <si>
    <t>CP016816.2_prot_AVX54676.1_109</t>
  </si>
  <si>
    <t>[locus_tag=JCVISYN3A_0235] [protein=Uncharacterized protein] [protein_id=AVX54676.1] [location=146279..146461] [gbkey=CDS]</t>
  </si>
  <si>
    <t>CP016816.2_prot_AVX54677.1_110</t>
  </si>
  <si>
    <t>[gene=rpsD] [locus_tag=JCVISYN3A_0238] [protein=30S ribosomal protein S4] [protein_id=AVX54677.1] [location=complement(146578..147204)] [gbkey=CDS]</t>
  </si>
  <si>
    <t>CP016816.2_prot_AVX54678.1_111</t>
  </si>
  <si>
    <t>[locus_tag=JCVISYN3A_0239] [protein=Uncharacterized protein] [protein_id=AVX54678.1] [location=147459..149246] [gbkey=CDS]</t>
  </si>
  <si>
    <t>CP016816.2_prot_AVX54679.1_112</t>
  </si>
  <si>
    <t>[gene=thiI] [locus_tag=JCVISYN3A_0240] [protein=tRNA 4-thiouridine(8) synthase] [protein_id=AVX54679.1] [location=149254..150441] [gbkey=CDS]</t>
  </si>
  <si>
    <t>CP016816.2_prot_AVX54680.1_113</t>
  </si>
  <si>
    <t>[gene=ysxC; yihA] [locus_tag=JCVISYN3A_0247] [protein=Ribosome biogenesis GTP-binding protein] [protein_id=AVX54680.1] [location=complement(150614..151204)] [gbkey=CDS]</t>
  </si>
  <si>
    <t>CP016816.2_prot_AVX54681.1_114</t>
  </si>
  <si>
    <t>[locus_tag=JCVISYN3A_0248] [protein=Uncharacterized protein] [protein_id=AVX54681.1] [location=complement(151198..151758)] [gbkey=CDS]</t>
  </si>
  <si>
    <t>CP016816.2_prot_AVX54682.1_115</t>
  </si>
  <si>
    <t>[locus_tag=JCVISYN3A_0249] [protein=Uncharacterized protein] [protein_id=AVX54682.1] [location=complement(151760..152338)] [gbkey=CDS]</t>
  </si>
  <si>
    <t>CP016816.2_prot_AVX54683.1_116</t>
  </si>
  <si>
    <t>[locus_tag=JCVISYN3A_0250] [protein=Uncharacterized protein] [protein_id=AVX54683.1] [location=complement(152341..153030)] [gbkey=CDS]</t>
  </si>
  <si>
    <t>CP016816.2_prot_AVX54684.1_117</t>
  </si>
  <si>
    <t>[gene=greA] [locus_tag=JCVISYN3A_0253] [protein=Transcription elongation factor] [protein_id=AVX54684.1] [location=complement(153156..153629)] [gbkey=CDS]</t>
  </si>
  <si>
    <t>CP016816.2_prot_AVX54685.1_118</t>
  </si>
  <si>
    <t>[gene=uvrC] [locus_tag=JCVISYN3A_0254] [protein=Excinuclease ABC subunit C] [protein_id=AVX54685.1] [location=complement(153752..155506)] [gbkey=CDS]</t>
  </si>
  <si>
    <t>CP016816.2_prot_AVX54686.1_119</t>
  </si>
  <si>
    <t>[gene=rnjB] [locus_tag=JCVISYN3A_0257] [protein=RNase J family beta-CASP ribonuclease] [protein_id=AVX54686.1] [location=complement(155628..157379)] [gbkey=CDS]</t>
  </si>
  <si>
    <t>CP016816.2_prot_AVX54687.1_120</t>
  </si>
  <si>
    <t>[gene=nadK] [locus_tag=JCVISYN3A_0259] [protein=NAD(+) kinase] [protein_id=AVX54687.1] [location=complement(157516..158313)] [gbkey=CDS]</t>
  </si>
  <si>
    <t>CP016816.2_prot_AVX54688.1_121</t>
  </si>
  <si>
    <t>[gene=valRS] [locus_tag=JCVISYN3A_0260] [protein=Valine--tRNA ligase] [protein_id=AVX54688.1] [location=complement(158424..161042)] [gbkey=CDS]</t>
  </si>
  <si>
    <t>CP016816.2_prot_AVX54689.1_122</t>
  </si>
  <si>
    <t>[gene=rpe] [locus_tag=JCVISYN3A_0262] [protein=Ribulose-phosphate 3-epimerase] [protein_id=AVX54689.1] [location=complement(161214..161891)] [gbkey=CDS]</t>
  </si>
  <si>
    <t>CP016816.2_prot_AVX54690.1_123</t>
  </si>
  <si>
    <t>[locus_tag=JCVISYN3A_0263] [protein=Ribosome small subunit-dependent GTPase A] [protein_id=AVX54690.1] [location=complement(161893..162795)] [gbkey=CDS]</t>
  </si>
  <si>
    <t>CP016816.2_prot_AVX54691.1_124</t>
  </si>
  <si>
    <t>[locus_tag=JCVISYN3A_0264] [protein=Uncharacterized serine/threonine protein kinase] [protein_id=AVX54691.1] [location=complement(162805..163920)] [gbkey=CDS]</t>
  </si>
  <si>
    <t>CP016816.2_prot_AVX54692.1_125</t>
  </si>
  <si>
    <t>[gene=tsaE; yjeE] [locus_tag=JCVISYN3A_0270] [protein=tRNA (N6-adenosine(37)-N6)-threonylcarbamoyltransferase complex ATPase] [protein_id=AVX54692.1] [location=164055..164471] [gbkey=CDS]</t>
  </si>
  <si>
    <t>CP016816.2_prot_AVX54693.1_126</t>
  </si>
  <si>
    <t>[gene=tsaB; yeaZ] [locus_tag=JCVISYN3A_0271] [protein=tRNA N6-adenosine(37)-N6-threonylcarbamoyltransferase complex dimerization subunit] [protein_id=AVX54693.1] [location=164473..165036] [gbkey=CDS]</t>
  </si>
  <si>
    <t>CP016816.2_prot_AVX54694.1_127</t>
  </si>
  <si>
    <t>[locus_tag=JCVISYN3A_0281] [protein=Uncharacterized protein] [protein_id=AVX54694.1] [location=165787..166467] [gbkey=CDS]</t>
  </si>
  <si>
    <t>CP016816.2_prot_AVX54695.1_128</t>
  </si>
  <si>
    <t>[gene=proRS] [locus_tag=JCVISYN3A_0282] [protein=Proline--tRNA ligase] [protein_id=AVX54695.1] [location=166448..167872] [gbkey=CDS]</t>
  </si>
  <si>
    <t>CP016816.2_prot_AVX54696.1_129</t>
  </si>
  <si>
    <t>[gene=rnhA] [locus_tag=JCVISYN3A_0283] [protein=Double-stranded RNA binding RNase HI] [protein_id=AVX54696.1] [location=167885..168502] [gbkey=CDS]</t>
  </si>
  <si>
    <t>CP016816.2_prot_AVX54697.1_130</t>
  </si>
  <si>
    <t>[gene=lepA; EF4] [locus_tag=JCVISYN3A_0285] [protein=Elongation factor 4] [protein_id=AVX54697.1] [location=168527..170329] [gbkey=CDS]</t>
  </si>
  <si>
    <t>CP016816.2_prot_AVX54698.1_131</t>
  </si>
  <si>
    <t>[locus_tag=JCVISYN3A_0286] [protein=Uncharacterized protein] [protein_id=AVX54698.1] [location=170355..171161] [gbkey=CDS]</t>
  </si>
  <si>
    <t>CP016816.2_prot_AVX54699.1_132</t>
  </si>
  <si>
    <t>[gene=aspRS] [locus_tag=JCVISYN3A_0287] [protein=Aspartate--tRNA ligase] [protein_id=AVX54699.1] [location=complement(171178..172902)] [gbkey=CDS]</t>
  </si>
  <si>
    <t>CP016816.2_prot_AVX54700.1_133</t>
  </si>
  <si>
    <t>[gene=hisRS] [locus_tag=JCVISYN3A_0288] [protein=Histidine--tRNA ligase] [protein_id=AVX54700.1] [location=complement(172911..174155)] [gbkey=CDS]</t>
  </si>
  <si>
    <t>CP016816.2_prot_AVX54701.1_134</t>
  </si>
  <si>
    <t>[gene=rbfA] [locus_tag=JCVISYN3A_0289] [protein=Ribosome-binding factor A] [protein_id=AVX54701.1] [location=174340..174693] [gbkey=CDS]</t>
  </si>
  <si>
    <t>CP016816.2_prot_AVX54702.1_135</t>
  </si>
  <si>
    <t>[gene=truB] [locus_tag=JCVISYN3A_0290] [protein=tRNA pseudouridine(55) synthase] [protein_id=AVX54702.1] [location=174743..175621] [gbkey=CDS]</t>
  </si>
  <si>
    <t>CP016816.2_prot_AVX54703.1_136</t>
  </si>
  <si>
    <t>[gene=ribF] [locus_tag=JCVISYN3A_0291] [protein=FAD synthetase] [protein_id=AVX54703.1] [location=175608..176162] [gbkey=CDS]</t>
  </si>
  <si>
    <t>CP016816.2_prot_AVX54704.1_137</t>
  </si>
  <si>
    <t>[gene=rpsO] [locus_tag=JCVISYN3A_0294] [protein=30S ribosomal protein S15] [protein_id=AVX54704.1] [location=176397..176663] [gbkey=CDS]</t>
  </si>
  <si>
    <t>CP016816.2_prot_AVX54705.1_138</t>
  </si>
  <si>
    <t>[locus_tag=JCVISYN3A_0296] [protein=Uncharacterized protein] [protein_id=AVX54705.1] [location=176894..177538] [gbkey=CDS]</t>
  </si>
  <si>
    <t>CP016816.2_prot_AVX54706.1_139</t>
  </si>
  <si>
    <t>[gene=infB] [locus_tag=JCVISYN3A_0297] [protein=Translation initiation factor IF-2] [protein_id=AVX54706.1] [location=complement(177557..179419)] [gbkey=CDS]</t>
  </si>
  <si>
    <t>CP016816.2_prot_AVX54707.1_140</t>
  </si>
  <si>
    <t>[locus_tag=JCVISYN3A_0298] [protein=Uncharacterized L7Ae family protein] [protein_id=AVX54707.1] [location=complement(179441..179740)] [gbkey=CDS]</t>
  </si>
  <si>
    <t>CP016816.2_prot_AVX54708.1_141</t>
  </si>
  <si>
    <t>[locus_tag=JCVISYN3A_0299] [protein=Uncharacterized protein] [protein_id=AVX54708.1] [location=complement(179727..180008)] [gbkey=CDS]</t>
  </si>
  <si>
    <t>CP016816.2_prot_AVX54709.1_142</t>
  </si>
  <si>
    <t>[gene=nusA] [locus_tag=JCVISYN3A_0300] [protein=Transcription termination/antitermination protein NusA] [protein_id=AVX54709.1] [location=complement(179989..181743)] [gbkey=CDS]</t>
  </si>
  <si>
    <t>CP016816.2_prot_AVX54710.1_143</t>
  </si>
  <si>
    <t>[gene=rimP] [locus_tag=JCVISYN3A_0301] [protein=Ribosome assembly cofactor] [protein_id=AVX54710.1] [location=complement(181752..182246)] [gbkey=CDS]</t>
  </si>
  <si>
    <t>CP016816.2_prot_AVX54711.1_144</t>
  </si>
  <si>
    <t>[gene=fre] [locus_tag=JCVISYN3A_0302] [protein=Flavin reductase] [protein_id=AVX54711.1] [location=complement(182359..183009)] [gbkey=CDS]</t>
  </si>
  <si>
    <t>CP016816.2_prot_AVX54712.1_145</t>
  </si>
  <si>
    <t>[gene=polC] [locus_tag=JCVISYN3A_0303] [protein=PolC-type DNA polymerase III] [protein_id=AVX54712.1] [location=complement(183022..187470)] [gbkey=CDS]</t>
  </si>
  <si>
    <t>CP016816.2_prot_AVX54713.1_146</t>
  </si>
  <si>
    <t>[gene=cdsA] [locus_tag=JCVISYN3A_0304] [protein=Phosphatidate cytidylyltransferase] [protein_id=AVX54713.1] [location=complement(187479..188507)] [gbkey=CDS]</t>
  </si>
  <si>
    <t>CP016816.2_prot_AVX54714.1_147</t>
  </si>
  <si>
    <t>[locus_tag=JCVISYN3A_0305] [protein=Uncharacterized metallopeptidase] [protein_id=AVX54714.1] [location=complement(188706..189782)] [gbkey=CDS]</t>
  </si>
  <si>
    <t>CP016816.2_prot_AVX54715.1_148</t>
  </si>
  <si>
    <t>[gene=trpRS] [locus_tag=JCVISYN3A_0308] [protein=Tryptophan--tRNA ligase] [protein_id=AVX54715.1] [location=190227..191237] [gbkey=CDS]</t>
  </si>
  <si>
    <t>CP016816.2_prot_AVX54716.1_149</t>
  </si>
  <si>
    <t>[gene=ecfS] [locus_tag=JCVISYN3A_0314] [protein=Uncharacterized ECF transporter S component] [protein_id=AVX54716.1] [location=191373..192107] [gbkey=CDS]</t>
  </si>
  <si>
    <t>CP016816.2_prot_AVX54717.1_150</t>
  </si>
  <si>
    <t>[locus_tag=JCVISYN3A_0315] [protein=Uncharacterized protein] [protein_id=AVX54717.1] [location=192229..192381] [gbkey=CDS]</t>
  </si>
  <si>
    <t>CP016816.2_prot_AVX54718.1_151</t>
  </si>
  <si>
    <t>[gene=tkt] [locus_tag=JCVISYN3A_0316] [protein=Transketolase] [protein_id=AVX54718.1] [location=192440..194410] [gbkey=CDS]</t>
  </si>
  <si>
    <t>CP016816.2_prot_AVX54719.1_152</t>
  </si>
  <si>
    <t>[locus_tag=JCVISYN3A_0317] [protein=Uncharacterized protein] [protein_id=AVX54719.1] [location=194426..194671] [gbkey=CDS]</t>
  </si>
  <si>
    <t>CP016816.2_prot_AVX54720.1_153</t>
  </si>
  <si>
    <t>[locus_tag=JCVISYN3A_0325] [protein=Uncharacterized protein] [protein_id=AVX54720.1] [location=196094..197593] [gbkey=CDS]</t>
  </si>
  <si>
    <t>CP016816.2_prot_AVX54721.1_154</t>
  </si>
  <si>
    <t>[locus_tag=JCVISYN3A_0326] [protein=Uncharacterized protein] [protein_id=AVX54721.1] [location=197611..198372] [gbkey=CDS]</t>
  </si>
  <si>
    <t>CP016816.2_prot_AVX54722.1_155</t>
  </si>
  <si>
    <t>[gene=scpA] [locus_tag=JCVISYN3A_0327] [protein=Chromosome segregation protein A] [protein_id=AVX54722.1] [location=198382..199218] [gbkey=CDS]</t>
  </si>
  <si>
    <t>CP016816.2_prot_AVX54723.1_156</t>
  </si>
  <si>
    <t>[gene=scpB] [locus_tag=JCVISYN3A_0328] [protein=Chromosome segregation protein B] [protein_id=AVX54723.1] [location=199202..199831] [gbkey=CDS]</t>
  </si>
  <si>
    <t>CP016816.2_prot_AVX54724.1_157</t>
  </si>
  <si>
    <t>[gene=rluB] [locus_tag=JCVISYN3A_0329] [protein=Uncharacterized pseudouridine synthase] [protein_id=AVX54724.1] [location=199899..200657] [gbkey=CDS]</t>
  </si>
  <si>
    <t>CP016816.2_prot_AVX54725.1_158</t>
  </si>
  <si>
    <t>[gene=dgk] [locus_tag=JCVISYN3A_0330] [protein=Deoxyguanosine kinase] [protein_id=AVX54725.1] [location=200667..201284] [gbkey=CDS]</t>
  </si>
  <si>
    <t>CP016816.2_prot_AVX54726.1_159</t>
  </si>
  <si>
    <t>[locus_tag=JCVISYN3A_0332] [protein=Uncharacterized protein] [protein_id=AVX54726.1] [location=201395..202222] [gbkey=CDS]</t>
  </si>
  <si>
    <t>CP016816.2_prot_AVX54727.1_160</t>
  </si>
  <si>
    <t>[locus_tag=JCVISYN3A_0338] [protein=Uncharacterized lipoprotein] [protein_id=AVX54727.1] [location=202897..203616] [gbkey=CDS]</t>
  </si>
  <si>
    <t>CP016816.2_prot_AVX54728.1_161</t>
  </si>
  <si>
    <t>[gene=ppa] [locus_tag=JCVISYN3A_0344] [protein=Inorganic diphosphatase] [protein_id=AVX54728.1] [location=complement(204074..204634)] [gbkey=CDS]</t>
  </si>
  <si>
    <t>CP016816.2_prot_AVX54729.1_162</t>
  </si>
  <si>
    <t>[gene=ecfS] [locus_tag=JCVISYN3A_0345] [protein=Uncharacterized ECF transporter S component] [protein_id=AVX54729.1] [location=204773..205663] [gbkey=CDS]</t>
  </si>
  <si>
    <t>CP016816.2_prot_AVX54730.1_163</t>
  </si>
  <si>
    <t>[locus_tag=JCVISYN3A_0346] [protein=Uncharacterized protein] [protein_id=AVX54730.1] [location=205729..206424] [gbkey=CDS]</t>
  </si>
  <si>
    <t>CP016816.2_prot_AVX54731.1_164</t>
  </si>
  <si>
    <t>[gene=cmk] [locus_tag=JCVISYN3A_0347] [protein=Cytidylate kinase] [protein_id=AVX54731.1] [location=206433..207095] [gbkey=CDS]</t>
  </si>
  <si>
    <t>CP016816.2_prot_AVX54732.1_165</t>
  </si>
  <si>
    <t>[gene=engA] [locus_tag=JCVISYN3A_0348] [protein=Ribosome biogenesis GTPase] [protein_id=AVX54732.1] [location=207102..208409] [gbkey=CDS]</t>
  </si>
  <si>
    <t>CP016816.2_prot_AVX54733.1_166</t>
  </si>
  <si>
    <t>[gene=hupA] [locus_tag=JCVISYN3A_0350] [protein=DNA-binding protein] [protein_id=AVX54733.1] [location=208464..208736] [gbkey=CDS]</t>
  </si>
  <si>
    <t>CP016816.2_prot_AVX54734.1_167</t>
  </si>
  <si>
    <t>[locus_tag=JCVISYN3A_0352] [protein=Uncharacterized protein] [protein_id=AVX54734.1] [location=208791..209339] [gbkey=CDS]</t>
  </si>
  <si>
    <t>CP016816.2_prot_AVX54735.1_168</t>
  </si>
  <si>
    <t>[locus_tag=JCVISYN3A_0353] [protein=Uncharacterized protein] [protein_id=AVX54735.1] [location=209403..209780] [gbkey=CDS]</t>
  </si>
  <si>
    <t>CP016816.2_prot_AVX54736.1_169</t>
  </si>
  <si>
    <t>[locus_tag=JCVISYN3A_0359] [protein=Ribonuclease Y] [protein_id=AVX54736.1] [location=210712..212241] [gbkey=CDS]</t>
  </si>
  <si>
    <t>CP016816.2_prot_AVX54737.1_170</t>
  </si>
  <si>
    <t>[gene=ffh] [locus_tag=JCVISYN3A_0360] [protein=Signal recognition particle protein] [protein_id=AVX54737.1] [location=212275..213618] [gbkey=CDS]</t>
  </si>
  <si>
    <t>CP016816.2_prot_AVX54738.1_171</t>
  </si>
  <si>
    <t>[gene=rlmH] [locus_tag=JCVISYN3A_0361] [protein=23S rRNA (pseudouridine(1915)-N3)-methyltransferase] [protein_id=AVX54738.1] [location=213622..214089] [gbkey=CDS]</t>
  </si>
  <si>
    <t>CP016816.2_prot_AVX54739.1_172</t>
  </si>
  <si>
    <t>[gene=rpsP] [locus_tag=JCVISYN3A_0362] [protein=30S ribosomal protein S16] [protein_id=AVX54739.1] [location=214180..214458] [gbkey=CDS]</t>
  </si>
  <si>
    <t>CP016816.2_prot_AVX54740.1_173</t>
  </si>
  <si>
    <t>[gene=rimM] [locus_tag=JCVISYN3A_0363] [protein=16S rRNA processing protein] [protein_id=AVX54740.1] [location=214490..214984] [gbkey=CDS]</t>
  </si>
  <si>
    <t>CP016816.2_prot_AVX54741.1_174</t>
  </si>
  <si>
    <t>[gene=trmD] [locus_tag=JCVISYN3A_0364] [protein=tRNA (guanosine(37)-N1)-methyltransferase] [protein_id=AVX54741.1] [location=214986..215708] [gbkey=CDS]</t>
  </si>
  <si>
    <t>CP016816.2_prot_AVX54742.1_175</t>
  </si>
  <si>
    <t>[gene=rplS] [locus_tag=JCVISYN3A_0365] [protein=50S ribosomal protein L19] [protein_id=AVX54742.1] [location=215710..216093] [gbkey=CDS]</t>
  </si>
  <si>
    <t>CP016816.2_prot_AVX54743.1_176</t>
  </si>
  <si>
    <t>[gene=ylqF; rbgA] [locus_tag=JCVISYN3A_0366] [protein=L16-binding dependent 50S subunit-maturation GTPase] [protein_id=AVX54743.1] [location=216192..217142] [gbkey=CDS]</t>
  </si>
  <si>
    <t>CP016816.2_prot_AVX54744.1_177</t>
  </si>
  <si>
    <t>[gene=ywjA] [locus_tag=JCVISYN3A_0371] [protein=Flippase A] [protein_id=AVX54744.1] [location=217523..219394] [gbkey=CDS]</t>
  </si>
  <si>
    <t>CP016816.2_prot_AVX54745.1_178</t>
  </si>
  <si>
    <t>[gene=ywjA] [locus_tag=JCVISYN3A_0372] [protein=Flippase B] [protein_id=AVX54745.1] [location=219410..221263] [gbkey=CDS]</t>
  </si>
  <si>
    <t>CP016816.2_prot_AVX54746.1_179</t>
  </si>
  <si>
    <t>[locus_tag=JCVISYN3A_0373] [protein=Uncharacterized protein] [protein_id=AVX54746.1] [location=221297..222904] [gbkey=CDS]</t>
  </si>
  <si>
    <t>CP016816.2_prot_AVX54747.1_180</t>
  </si>
  <si>
    <t>[locus_tag=JCVISYN3A_0375] [protein=Uncharacterized protein] [protein_id=AVX54747.1] [location=223090..223830] [gbkey=CDS]</t>
  </si>
  <si>
    <t>CP016816.2_prot_AVX54748.1_181</t>
  </si>
  <si>
    <t>[locus_tag=JCVISYN3A_0376] [protein=Uncharacterized protein] [protein_id=AVX54748.1] [location=223802..224146] [gbkey=CDS]</t>
  </si>
  <si>
    <t>CP016816.2_prot_AVX54749.1_182</t>
  </si>
  <si>
    <t>[gene=obgE] [locus_tag=JCVISYN3A_0377] [protein=Ribosome GTPase] [protein_id=AVX54749.1] [location=224217..225518] [gbkey=CDS]</t>
  </si>
  <si>
    <t>CP016816.2_prot_AVX54750.1_183</t>
  </si>
  <si>
    <t>[gene=nadE] [locus_tag=JCVISYN3A_0378] [protein=NAD(+) synthase] [protein_id=AVX54750.1] [location=225520..226257] [gbkey=CDS]</t>
  </si>
  <si>
    <t>CP016816.2_prot_AVX54751.1_184</t>
  </si>
  <si>
    <t>[locus_tag=JCVISYN3A_0379] [protein=Uncharacterized protein] [protein_id=AVX54751.1] [location=226274..226552] [gbkey=CDS]</t>
  </si>
  <si>
    <t>CP016816.2_prot_AVX54752.1_185</t>
  </si>
  <si>
    <t>[gene=nadD] [locus_tag=JCVISYN3A_0380] [protein=Nicotinate (nicotinamide) nucleotide adenylyltransferase] [protein_id=AVX54752.1] [location=226570..227667] [gbkey=CDS]</t>
  </si>
  <si>
    <t>CP016816.2_prot_AVX54753.1_186</t>
  </si>
  <si>
    <t>[gene=mtnN] [locus_tag=JCVISYN3A_0381] [protein=5'-Methylthioadenosine nucleosidase] [protein_id=AVX54753.1] [location=227672..228331] [gbkey=CDS]</t>
  </si>
  <si>
    <t>CP016816.2_prot_AVX54754.1_187</t>
  </si>
  <si>
    <t>[gene=dnk] [locus_tag=JCVISYN3A_0382] [protein=Deoxynucleoside kinase] [protein_id=AVX54754.1] [location=228341..228979] [gbkey=CDS]</t>
  </si>
  <si>
    <t>CP016816.2_prot_AVX54755.1_188</t>
  </si>
  <si>
    <t>[gene=mnmA] [locus_tag=JCVISYN3A_0387] [protein=tRNA 2-thiouridine(34) synthase] [protein_id=AVX54755.1] [location=229208..230335] [gbkey=CDS]</t>
  </si>
  <si>
    <t>CP016816.2_prot_AVX54756.1_189</t>
  </si>
  <si>
    <t>[locus_tag=JCVISYN3A_0388] [protein=Uncharacterized protein] [protein_id=AVX54756.1] [location=230382..230999] [gbkey=CDS]</t>
  </si>
  <si>
    <t>CP016816.2_prot_AVX54757.1_190</t>
  </si>
  <si>
    <t>[locus_tag=JCVISYN3A_0389] [protein=Uncharacterized protein] [protein_id=AVX54757.1] [location=231075..233219] [gbkey=CDS]</t>
  </si>
  <si>
    <t>CP016816.2_prot_AVX54758.1_191</t>
  </si>
  <si>
    <t>[gene=fmt] [locus_tag=JCVISYN3A_0390] [protein=Methionyl-tRNA formyltransferase] [protein_id=AVX54758.1] [location=233209..234162] [gbkey=CDS]</t>
  </si>
  <si>
    <t>CP016816.2_prot_AVX54759.1_192</t>
  </si>
  <si>
    <t>[gene=efp] [locus_tag=JCVISYN3A_0391] [protein=Elongation factor P] [protein_id=AVX54759.1] [location=234249..234803] [gbkey=CDS]</t>
  </si>
  <si>
    <t>CP016816.2_prot_AVX54760.1_193</t>
  </si>
  <si>
    <t>[locus_tag=JCVISYN3A_0392] [protein=Uncharacterized protein] [protein_id=AVX54760.1] [location=234821..235123] [gbkey=CDS]</t>
  </si>
  <si>
    <t>CP016816.2_prot_AVX54761.1_194</t>
  </si>
  <si>
    <t>[gene=lon] [locus_tag=JCVISYN3A_0394] [protein=Endopeptidase La] [protein_id=AVX54761.1] [location=235262..237622] [gbkey=CDS]</t>
  </si>
  <si>
    <t>CP016816.2_prot_AVX54762.1_195</t>
  </si>
  <si>
    <t>[locus_tag=JCVISYN3A_0398] [protein=Uncharacterized lipoprotein] [protein_id=AVX54762.1] [location=complement(237760..240222)] [gbkey=CDS]</t>
  </si>
  <si>
    <t>CP016816.2_prot_AVX54763.1_196</t>
  </si>
  <si>
    <t>[locus_tag=JCVISYN3A_0399] [protein=Uncharacterized efflux ABC transporter permease] [protein_id=AVX54763.1] [location=240372..245633] [gbkey=CDS]</t>
  </si>
  <si>
    <t>CP016816.2_prot_AVX54764.1_197</t>
  </si>
  <si>
    <t>[locus_tag=JCVISYN3A_0400] [protein=Uncharacterized protease] [protein_id=AVX54764.1] [location=245681..246232] [gbkey=CDS]</t>
  </si>
  <si>
    <t>CP016816.2_prot_AVX54765.1_198</t>
  </si>
  <si>
    <t>[locus_tag=JCVISYN3A_0401] [protein=Uncharacterized peptidase] [protein_id=AVX54765.1] [location=246267..248114] [gbkey=CDS]</t>
  </si>
  <si>
    <t>CP016816.2_prot_AVX54766.1_199</t>
  </si>
  <si>
    <t>[gene=ybeY] [locus_tag=JCVISYN3A_0402] [protein=rRNA maturation RNase] [protein_id=AVX54766.1] [location=248119..248613] [gbkey=CDS]</t>
  </si>
  <si>
    <t>CP016816.2_prot_AVX54767.1_200</t>
  </si>
  <si>
    <t>[gene=era] [locus_tag=JCVISYN3A_0403] [protein=Ribosome GTPase] [protein_id=AVX54767.1] [location=248617..249522] [gbkey=CDS]</t>
  </si>
  <si>
    <t>CP016816.2_prot_AVX54768.1_201</t>
  </si>
  <si>
    <t>[gene=recO] [locus_tag=JCVISYN3A_0404] [protein=DNA repair protein] [protein_id=AVX54768.1] [location=249522..250271] [gbkey=CDS]</t>
  </si>
  <si>
    <t>CP016816.2_prot_AVX54769.1_202</t>
  </si>
  <si>
    <t>[gene=glyRS] [locus_tag=JCVISYN3A_0405] [protein=Glycine--tRNA ligase] [protein_id=AVX54769.1] [location=250335..251705] [gbkey=CDS]</t>
  </si>
  <si>
    <t>CP016816.2_prot_AVX54770.1_203</t>
  </si>
  <si>
    <t>[gene=dnaG] [locus_tag=JCVISYN3A_0406] [protein=DNA primase] [protein_id=AVX54770.1] [location=251740..253578] [gbkey=CDS]</t>
  </si>
  <si>
    <t>CP016816.2_prot_AVX54771.1_204</t>
  </si>
  <si>
    <t>[gene=rpoD] [locus_tag=JCVISYN3A_0407] [protein=RNA polymerase subunit sigma] [protein_id=AVX54771.1] [location=253581..255101] [gbkey=CDS]</t>
  </si>
  <si>
    <t>CP016816.2_prot_AVX54772.1_205</t>
  </si>
  <si>
    <t>[gene=trmK; yqfN] [locus_tag=JCVISYN3A_0408] [protein=Uncharacterized methyltransferase] [protein_id=AVX54772.1] [location=255101..255778] [gbkey=CDS]</t>
  </si>
  <si>
    <t>CP016816.2_prot_AVX54773.1_206</t>
  </si>
  <si>
    <t>[locus_tag=JCVISYN3A_0409] [protein=Uncharacterized protein] [protein_id=AVX54773.1] [location=255765..256541] [gbkey=CDS]</t>
  </si>
  <si>
    <t>CP016816.2_prot_AVX54774.1_207</t>
  </si>
  <si>
    <t>[locus_tag=JCVISYN3A_0410] [protein=Uncharacterized helicase] [protein_id=AVX54774.1] [location=256550..257911] [gbkey=CDS]</t>
  </si>
  <si>
    <t>CP016816.2_prot_AVX54775.1_208</t>
  </si>
  <si>
    <t>[locus_tag=JCVISYN3A_0411] [protein=Uncharacterized protein] [protein_id=AVX54775.1] [location=257951..259465] [gbkey=CDS]</t>
  </si>
  <si>
    <t>CP016816.2_prot_AVX54776.1_209</t>
  </si>
  <si>
    <t>[locus_tag=JCVISYN3A_0412] [protein=Uncharacterized protein] [protein_id=AVX54776.1] [location=259581..263735] [gbkey=CDS]</t>
  </si>
  <si>
    <t>CP016816.2_prot_AVX54777.1_210</t>
  </si>
  <si>
    <t>[gene=apt] [locus_tag=JCVISYN3A_0413] [protein=Adenine phosphoribosyltransferase] [protein_id=AVX54777.1] [location=263747..264259] [gbkey=CDS]</t>
  </si>
  <si>
    <t>CP016816.2_prot_AVX54778.1_211</t>
  </si>
  <si>
    <t>[gene=relA] [locus_tag=JCVISYN3A_0414] [protein=Guanosine-3',5'-bis(diphosphate) 3'-pyrophosphohydrolase] [protein_id=AVX54778.1] [location=264342..266606] [gbkey=CDS]</t>
  </si>
  <si>
    <t>CP016816.2_prot_AVX54779.1_212</t>
  </si>
  <si>
    <t>[gene=smc] [locus_tag=JCVISYN3A_0415] [protein=Chromosome segregation protein] [protein_id=AVX54779.1] [location=complement(266643..269609)] [gbkey=CDS]</t>
  </si>
  <si>
    <t>CP016816.2_prot_AVX54780.1_213</t>
  </si>
  <si>
    <t>[locus_tag=JCVISYN3A_0416] [protein=Uncharacterized protein] [protein_id=AVX54780.1] [location=complement(269915..270304)] [gbkey=CDS]</t>
  </si>
  <si>
    <t>CP016816.2_prot_AVX54781.1_214</t>
  </si>
  <si>
    <t>[locus_tag=JCVISYN3A_0418] [protein=Ribonuclease III] [protein_id=AVX54781.1] [location=complement(270449..271147)] [gbkey=CDS]</t>
  </si>
  <si>
    <t>CP016816.2_prot_AVX54782.1_215</t>
  </si>
  <si>
    <t>[gene=plsX] [locus_tag=JCVISYN3A_0419] [protein=Phosphate acyltransferase] [protein_id=AVX54782.1] [location=complement(271137..272141)] [gbkey=CDS]</t>
  </si>
  <si>
    <t>CP016816.2_prot_AVX54783.1_216</t>
  </si>
  <si>
    <t>[gene=fakA] [locus_tag=JCVISYN3A_0420] [protein=Fatty acid kinase subunit A] [protein_id=AVX54783.1] [location=complement(272174..273817)] [gbkey=CDS]</t>
  </si>
  <si>
    <t>CP016816.2_prot_AVX54784.1_217</t>
  </si>
  <si>
    <t>[locus_tag=JCVISYN3A_0421] [protein=Uncharacterized protein] [protein_id=AVX54784.1] [location=complement(273842..274153)] [gbkey=CDS]</t>
  </si>
  <si>
    <t>CP016816.2_prot_AVX54785.1_218</t>
  </si>
  <si>
    <t>[gene=rpmB] [locus_tag=JCVISYN3A_0422] [protein=50S ribosomal protein L28] [protein_id=AVX54785.1] [location=274322..274519] [gbkey=CDS]</t>
  </si>
  <si>
    <t>CP016816.2_prot_AVX54786.1_219</t>
  </si>
  <si>
    <t>[locus_tag=JCVISYN3A_0424] [protein=Uncharacterized protein] [protein_id=AVX54786.1] [location=274750..275193] [gbkey=CDS]</t>
  </si>
  <si>
    <t>CP016816.2_prot_AVX54787.1_220</t>
  </si>
  <si>
    <t>[gene=pstS] [locus_tag=JCVISYN3A_0425] [protein=Phosphate ABC transporter substrate-binding protein] [protein_id=AVX54787.1] [location=275282..276412] [gbkey=CDS]</t>
  </si>
  <si>
    <t>CP016816.2_prot_AVX54788.1_221</t>
  </si>
  <si>
    <t>[gene=pstA] [locus_tag=JCVISYN3A_0426] [protein=Phosphate ABC transporter permease] [protein_id=AVX54788.1] [location=276464..278554] [gbkey=CDS]</t>
  </si>
  <si>
    <t>CP016816.2_prot_AVX54789.1_222</t>
  </si>
  <si>
    <t>[gene=pstB] [locus_tag=JCVISYN3A_0427] [protein=Phosphate ABC transporter ATP-binding protein] [protein_id=AVX54789.1] [location=278547..279356] [gbkey=CDS]</t>
  </si>
  <si>
    <t>CP016816.2_prot_AVX54790.1_223</t>
  </si>
  <si>
    <t>[gene=phoU] [locus_tag=JCVISYN3A_0428] [protein=Phosphate transport system regulatory protein] [protein_id=AVX54790.1] [location=279365..280039] [gbkey=CDS]</t>
  </si>
  <si>
    <t>CP016816.2_prot_AVX54791.1_224</t>
  </si>
  <si>
    <t>[gene=ftsY] [locus_tag=JCVISYN3A_0429] [protein=Signal recognition particle-docking protein] [protein_id=AVX54791.1] [location=280106..281335] [gbkey=CDS]</t>
  </si>
  <si>
    <t>CP016816.2_prot_AVX54792.1_225</t>
  </si>
  <si>
    <t>[locus_tag=JCVISYN3A_0430] [protein=Uncharacterized DNA-binding protein] [protein_id=AVX54792.1] [location=281319..281660] [gbkey=CDS]</t>
  </si>
  <si>
    <t>CP016816.2_prot_AVX54793.1_226</t>
  </si>
  <si>
    <t>[locus_tag=JCVISYN3A_0431] [protein=Uncharacterized metallophosphoesterase] [protein_id=AVX54793.1] [location=281648..282421] [gbkey=CDS]</t>
  </si>
  <si>
    <t>CP016816.2_prot_AVX54794.1_227</t>
  </si>
  <si>
    <t>[gene=metK] [locus_tag=JCVISYN3A_0432] [protein=Methionine adenosyltransferase] [protein_id=AVX54794.1] [location=282631..283794] [gbkey=CDS]</t>
  </si>
  <si>
    <t>CP016816.2_prot_AVX54795.1_228</t>
  </si>
  <si>
    <t>[gene=cutC] [locus_tag=JCVISYN3A_0433] [protein=Uncharacterized protein] [protein_id=AVX54795.1] [location=283785..284468] [gbkey=CDS]</t>
  </si>
  <si>
    <t>CP016816.2_prot_AVX54796.1_229</t>
  </si>
  <si>
    <t>[gene=rlmFO] [locus_tag=JCVISYN3A_0434] [protein=23S rRNA (uridine(1939)-m5)-methyltransferase] [protein_id=AVX54796.1] [location=284461..285777] [gbkey=CDS]</t>
  </si>
  <si>
    <t>CP016816.2_prot_AVX54797.1_230</t>
  </si>
  <si>
    <t>[gene=manA] [locus_tag=JCVISYN3A_0435] [protein=Mannose-6-phosphate isomerase] [protein_id=AVX54797.1] [location=285803..286732] [gbkey=CDS]</t>
  </si>
  <si>
    <t>CP016816.2_prot_AVX54798.1_231</t>
  </si>
  <si>
    <t>[gene=yhaM] [locus_tag=JCVISYN3A_0437] [protein=Putative 3'-5' exoribonuclease] [protein_id=AVX54798.1] [location=286805..287785] [gbkey=CDS]</t>
  </si>
  <si>
    <t>CP016816.2_prot_AVX54799.1_232</t>
  </si>
  <si>
    <t>[gene=hinT] [locus_tag=JCVISYN3A_0438] [protein=Uncharacterized protein] [protein_id=AVX54799.1] [location=complement(287816..288214)] [gbkey=CDS]</t>
  </si>
  <si>
    <t>CP016816.2_prot_AVX54800.1_233</t>
  </si>
  <si>
    <t>[locus_tag=JCVISYN3A_0439] [protein=Uncharacterized lipoprotein] [protein_id=AVX54800.1] [location=complement(288217..290373)] [gbkey=CDS]</t>
  </si>
  <si>
    <t>CP016816.2_prot_AVX54801.1_234</t>
  </si>
  <si>
    <t>[locus_tag=JCVISYN3A_0440] [protein=Uncharacterized lipoprotein] [protein_id=AVX54801.1] [location=complement(290373..293309)] [gbkey=CDS]</t>
  </si>
  <si>
    <t>CP016816.2_prot_AVX54802.1_235</t>
  </si>
  <si>
    <t>[gene=iscS] [locus_tag=JCVISYN3A_0441] [protein=Cysteine desulfurase] [protein_id=AVX54802.1] [location=293512..294750] [gbkey=CDS]</t>
  </si>
  <si>
    <t>CP016816.2_prot_AVX54803.1_236</t>
  </si>
  <si>
    <t>[gene=iscU] [locus_tag=JCVISYN3A_0442] [protein=Iron-sulfur cluster assembly scaffold protein] [protein_id=AVX54803.1] [location=294753..295190] [gbkey=CDS]</t>
  </si>
  <si>
    <t>CP016816.2_prot_AVX54804.1_237</t>
  </si>
  <si>
    <t>[gene=yggN] [locus_tag=JCVISYN3A_0443] [protein=5-Formyltetrahydrofolate cyclo-ligase] [protein_id=AVX54804.1] [location=295183..295746] [gbkey=CDS]</t>
  </si>
  <si>
    <t>CP016816.2_prot_AVX54805.1_238</t>
  </si>
  <si>
    <t>[locus_tag=JCVISYN3A_0444] [protein=Uncharacterized peptidase] [protein_id=AVX54805.1] [location=295767..297662] [gbkey=CDS]</t>
  </si>
  <si>
    <t>CP016816.2_prot_AVX54806.1_239</t>
  </si>
  <si>
    <t>[gene=pgi] [locus_tag=JCVISYN3A_0445] [protein=Glucose-6-phosphate isomerase] [protein_id=AVX54806.1] [location=297882..299165] [gbkey=CDS]</t>
  </si>
  <si>
    <t>CP016816.2_prot_AVX54807.1_240</t>
  </si>
  <si>
    <t>[gene=dut] [locus_tag=JCVISYN3A_0447] [protein=dUTP diphosphatase] [protein_id=AVX54807.1] [location=299198..299701] [gbkey=CDS]</t>
  </si>
  <si>
    <t>CP016816.2_prot_AVX54808.1_241</t>
  </si>
  <si>
    <t>[locus_tag=JCVISYN3A_0448] [protein=Uncharacterized rRNA methyltransferase] [protein_id=AVX54808.1] [location=299718..300485] [gbkey=CDS]</t>
  </si>
  <si>
    <t>CP016816.2_prot_AVX54809.1_242</t>
  </si>
  <si>
    <t>[gene=gapdh] [locus_tag=JCVISYN3A_0451] [protein=Glyceraldehyde-3-phosphate dehydrogenase] [protein_id=AVX54809.1] [location=300656..302071] [gbkey=CDS]</t>
  </si>
  <si>
    <t>CP016816.2_prot_AVX54810.1_243</t>
  </si>
  <si>
    <t>[gene=parE] [locus_tag=JCVISYN3A_0452] [protein=DNA topoisomerase IV subunit B] [protein_id=AVX54810.1] [location=302258..304189] [gbkey=CDS]</t>
  </si>
  <si>
    <t>CP016816.2_prot_AVX54811.1_244</t>
  </si>
  <si>
    <t>[gene=parC] [locus_tag=JCVISYN3A_0453] [protein=DNA topoisomerase IV subunit A] [protein_id=AVX54811.1] [location=304191..306887] [gbkey=CDS]</t>
  </si>
  <si>
    <t>CP016816.2_prot_AVX54812.1_245</t>
  </si>
  <si>
    <t>[gene=ldh] [locus_tag=JCVISYN3A_0475] [protein=L-lactate dehydrogenase] [protein_id=AVX54812.1] [location=complement(307123..308079)] [gbkey=CDS]</t>
  </si>
  <si>
    <t>CP016816.2_prot_AVX54813.1_246</t>
  </si>
  <si>
    <t>[locus_tag=JCVISYN3A_0478] [protein=Uncharacterized protein] [protein_id=AVX54813.1] [location=complement(308182..308766)] [gbkey=CDS]</t>
  </si>
  <si>
    <t>CP016816.2_prot_AVX54814.1_247</t>
  </si>
  <si>
    <t>[locus_tag=JCVISYN3A_0479] [protein=Uncharacterized peptidase] [protein_id=AVX54814.1] [location=complement(308771..310417)] [gbkey=CDS]</t>
  </si>
  <si>
    <t>CP016816.2_prot_AVX54815.1_248</t>
  </si>
  <si>
    <t>[locus_tag=JCVISYN3A_0481] [protein=Uncharacterized lipoprotein] [protein_id=AVX54815.1] [location=complement(310640..311077)] [gbkey=CDS]</t>
  </si>
  <si>
    <t>CP016816.2_prot_AVX54816.1_249</t>
  </si>
  <si>
    <t>[gene=rpsU] [locus_tag=JCVISYN3A_0482] [protein=30S ribosomal protein S21] [protein_id=AVX54816.1] [location=311391..311555] [gbkey=CDS]</t>
  </si>
  <si>
    <t>CP016816.2_prot_AVX54817.1_250</t>
  </si>
  <si>
    <t>[locus_tag=JCVISYN3A_0154] [protein=Uncharacterized peptidase] [protein_id=AVX54817.1] [location=311816..313171] [gbkey=CDS]</t>
  </si>
  <si>
    <t>CP016816.2_prot_AVX54818.1_251</t>
  </si>
  <si>
    <t>[locus_tag=JCVISYN3A_0493] [protein=Uncharacterized peptidase] [protein_id=AVX54818.1] [location=complement(313335..314684)] [gbkey=CDS]</t>
  </si>
  <si>
    <t>CP016816.2_prot_AVX54819.1_252</t>
  </si>
  <si>
    <t>[gene=nanE] [locus_tag=JCVISYN3A_0494] [protein=N-acetylmannosamine-6-phosphate 2-epimerase] [protein_id=AVX54819.1] [location=complement(314840..315520)] [gbkey=CDS]</t>
  </si>
  <si>
    <t>CP016816.2_prot_AVX54820.1_253</t>
  </si>
  <si>
    <t>[locus_tag=JCVISYN3A_0495] [protein=Uncharacterized kinase] [protein_id=AVX54820.1] [location=complement(315579..316454)] [gbkey=CDS]</t>
  </si>
  <si>
    <t>CP016816.2_prot_AVX54821.1_254</t>
  </si>
  <si>
    <t>[gene=rpmA] [locus_tag=JCVISYN3A_0499] [protein=50S ribosomal protein L27] [protein_id=AVX54821.1] [location=complement(316629..316910)] [gbkey=CDS]</t>
  </si>
  <si>
    <t>CP016816.2_prot_AVX54822.1_255</t>
  </si>
  <si>
    <t>[gene=prp;ysxB] [locus_tag=JCVISYN3A_0500] [protein=Maturation protease for ribosomal protein L27] [protein_id=AVX54822.1] [location=complement(316912..317226)] [gbkey=CDS]</t>
  </si>
  <si>
    <t>CP016816.2_prot_AVX54823.1_256</t>
  </si>
  <si>
    <t>[gene=rplU] [locus_tag=JCVISYN3A_0501] [protein=50S ribosomal protein L21] [protein_id=AVX54823.1] [location=complement(317229..317531)] [gbkey=CDS]</t>
  </si>
  <si>
    <t>CP016816.2_prot_AVX54825.1_258</t>
  </si>
  <si>
    <t>[gene=rsmI] [locus_tag=JCVISYN3A_0504] [protein=16S rRNA (cytidine(1402)-2'-O)-methyltransferase] [protein_id=AVX54825.1] [location=complement(318101..318988)] [gbkey=CDS]</t>
  </si>
  <si>
    <t>CP016816.2_prot_AVX54826.1_259</t>
  </si>
  <si>
    <t>[gene=rpmG] [locus_tag=JCVISYN3A_0930] [protein=50S ribosomal protein L33] [protein_id=AVX54826.1] [location=complement(319048..319191)] [gbkey=CDS]</t>
  </si>
  <si>
    <t>CP016816.2_prot_AVX54827.1_260</t>
  </si>
  <si>
    <t>[locus_tag=JCVISYN3A_0505] [protein=Uncharacterized lipoprotein] [protein_id=AVX54827.1] [location=319364..320437] [gbkey=CDS]</t>
  </si>
  <si>
    <t>CP016816.2_prot_AVX54828.1_261</t>
  </si>
  <si>
    <t>[locus_tag=JCVISYN3A_0511] [protein=Uncharacterized protein] [protein_id=AVX54828.1] [location=complement(321082..321705)] [gbkey=CDS]</t>
  </si>
  <si>
    <t>CP016816.2_prot_AVX54829.1_262</t>
  </si>
  <si>
    <t>[gene=plsC] [locus_tag=JCVISYN3A_0512] [protein=Acyl-phosphate glycerol 3-phosphate acyltransferase] [protein_id=AVX54829.1] [location=complement(321754..322701)] [gbkey=CDS]</t>
  </si>
  <si>
    <t>CP016816.2_prot_AVX54830.1_263</t>
  </si>
  <si>
    <t>[gene=acpS] [locus_tag=JCVISYN3A_0513] [protein=ACP synthase] [protein_id=AVX54830.1] [location=complement(322858..323190)] [gbkey=CDS]</t>
  </si>
  <si>
    <t>CP016816.2_prot_AVX54831.1_264</t>
  </si>
  <si>
    <t>[gene=dctD] [locus_tag=JCVISYN3A_0515] [protein=Cytidine deaminase] [protein_id=AVX54831.1] [location=complement(323250..323732)] [gbkey=CDS]</t>
  </si>
  <si>
    <t>CP016816.2_prot_AVX54832.1_265</t>
  </si>
  <si>
    <t>[locus_tag=JCVISYN3A_0516] [protein=Uncharacterized protein] [protein_id=AVX54832.1] [location=complement(323735..325036)] [gbkey=CDS]</t>
  </si>
  <si>
    <t>CP016816.2_prot_AVX54833.1_266</t>
  </si>
  <si>
    <t>[gene=rluD] [locus_tag=JCVISYN3A_0517] [protein=Uncharacterized RNA pseudouridine synthase] [protein_id=AVX54833.1] [location=complement(325029..325961)] [gbkey=CDS]</t>
  </si>
  <si>
    <t>CP016816.2_prot_AVX54834.1_267</t>
  </si>
  <si>
    <t>[gene=lspA] [locus_tag=JCVISYN3A_0518] [protein=Lipoprotein signal peptidase] [protein_id=AVX54834.1] [location=complement(325942..326550)] [gbkey=CDS]</t>
  </si>
  <si>
    <t>CP016816.2_prot_AVX54835.1_268</t>
  </si>
  <si>
    <t>[gene=ileRS] [locus_tag=JCVISYN3A_0519] [protein=Isoleucine--tRNA ligase] [protein_id=AVX54835.1] [location=complement(326541..329288)] [gbkey=CDS]</t>
  </si>
  <si>
    <t>CP016816.2_prot_AVX54836.1_269</t>
  </si>
  <si>
    <t>[locus_tag=JCVISYN3A_0520] [protein=Uncharacterized hydrolase] [protein_id=AVX54836.1] [location=complement(329981..330970)] [gbkey=CDS]</t>
  </si>
  <si>
    <t>CP016816.2_prot_AVX54837.1_270</t>
  </si>
  <si>
    <t>[gene=sepF] [locus_tag=JCVISYN3A_0521] [protein=Cell division protein] [protein_id=AVX54837.1] [location=complement(330983..331399)] [gbkey=CDS]</t>
  </si>
  <si>
    <t>CP016816.2_prot_AVX54838.1_271</t>
  </si>
  <si>
    <t>[gene=ftsZ] [locus_tag=JCVISYN3A_0522] [protein=Cell division protein] [protein_id=AVX54838.1] [location=complement(331411..332568)] [gbkey=CDS]</t>
  </si>
  <si>
    <t>CP016816.2_prot_AVX54839.1_272</t>
  </si>
  <si>
    <t>[gene=ftsA] [locus_tag=JCVISYN3A_0523] [protein=Cell division protein] [protein_id=AVX54839.1] [location=complement(332683..333843)] [gbkey=CDS]</t>
  </si>
  <si>
    <t>CP016816.2_prot_AVX54840.1_273</t>
  </si>
  <si>
    <t>[gene=rsmH; mraW] [locus_tag=JCVISYN3A_0524] [protein=16S rRNA (cytosine(1402)-N(4))-methyltransferase] [protein_id=AVX54840.1] [location=complement(333852..334778)] [gbkey=CDS]</t>
  </si>
  <si>
    <t>CP016816.2_prot_AVX54841.1_274</t>
  </si>
  <si>
    <t>[gene=mraZ] [locus_tag=JCVISYN3A_0525] [protein=Cell division/cell wall cluster transcriptional repressor] [protein_id=AVX54841.1] [location=complement(334787..335188)] [gbkey=CDS]</t>
  </si>
  <si>
    <t>CP016816.2_prot_AVX54842.1_275</t>
  </si>
  <si>
    <t>[gene=rpmF] [locus_tag=JCVISYN3A_0526] [protein=50S ribosomal protein L32] [protein_id=AVX54842.1] [location=complement(335295..335474)] [gbkey=CDS]</t>
  </si>
  <si>
    <t>CP016816.2_prot_AVX54843.1_276</t>
  </si>
  <si>
    <t>[locus_tag=JCVISYN3A_0527] [protein=Uncharacterized protein] [protein_id=AVX54843.1] [location=complement(335489..336007)] [gbkey=CDS]</t>
  </si>
  <si>
    <t>CP016816.2_prot_AVX54844.1_277</t>
  </si>
  <si>
    <t>[gene=pheRS] [locus_tag=JCVISYN3A_0528] [protein=Phenylalanine--tRNA ligase subunit beta] [protein_id=AVX54844.1] [location=complement(336007..338391)] [gbkey=CDS]</t>
  </si>
  <si>
    <t>CP016816.2_prot_AVX54845.1_278</t>
  </si>
  <si>
    <t>[gene=pheS] [locus_tag=JCVISYN3A_0529] [protein=Phenylalanine--tRNA ligase subunit alpha] [protein_id=AVX54845.1] [location=complement(338400..339452)] [gbkey=CDS]</t>
  </si>
  <si>
    <t>CP016816.2_prot_AVX54846.1_279</t>
  </si>
  <si>
    <t>[locus_tag=JCVISYN3A_0530] [protein=Uncharacterized protein] [protein_id=AVX54846.1] [location=complement(339482..340090)] [gbkey=CDS]</t>
  </si>
  <si>
    <t>CP016816.2_prot_AVX54847.1_280</t>
  </si>
  <si>
    <t>[gene=argRS] [locus_tag=JCVISYN3A_0535] [protein=Arginine--tRNA ligase] [protein_id=AVX54847.1] [location=complement(345258..346922)] [gbkey=CDS]</t>
  </si>
  <si>
    <t>CP016816.2_prot_AVX54848.1_281</t>
  </si>
  <si>
    <t>[gene=frr] [locus_tag=JCVISYN3A_0536] [protein=Ribosome recycling factor] [protein_id=AVX54848.1] [location=complement(346924..347472)] [gbkey=CDS]</t>
  </si>
  <si>
    <t>CP016816.2_prot_AVX54849.1_282</t>
  </si>
  <si>
    <t>[gene=pyrH] [locus_tag=JCVISYN3A_0537] [protein=UMP kinase] [protein_id=AVX54849.1] [location=complement(347483..348196)] [gbkey=CDS]</t>
  </si>
  <si>
    <t>CP016816.2_prot_AVX54850.1_283</t>
  </si>
  <si>
    <t>[locus_tag=JCVISYN3A_0538] [protein=Uncharacterized protein] [protein_id=AVX54850.1] [location=complement(348330..348935)] [gbkey=CDS]</t>
  </si>
  <si>
    <t>CP016816.2_prot_AVX54851.1_284</t>
  </si>
  <si>
    <t>[gene=tsf] [locus_tag=JCVISYN3A_0539] [protein=Translation elongation factor Ts] [protein_id=AVX54851.1] [location=complement(348935..349822)] [gbkey=CDS]</t>
  </si>
  <si>
    <t>CP016816.2_prot_AVX54852.1_285</t>
  </si>
  <si>
    <t>[gene=rpsB] [locus_tag=JCVISYN3A_0540] [protein=30S ribosomal protein S2] [protein_id=AVX54852.1] [location=complement(349834..350712)] [gbkey=CDS]</t>
  </si>
  <si>
    <t>CP016816.2_prot_AVX54853.1_286</t>
  </si>
  <si>
    <t>[gene=dnaJ] [locus_tag=JCVISYN3A_0541] [protein=Molecular chaperone] [protein_id=AVX54853.1] [location=complement(350920..352038)] [gbkey=CDS]</t>
  </si>
  <si>
    <t>CP016816.2_prot_AVX54854.1_287</t>
  </si>
  <si>
    <t>[gene=dnaK] [locus_tag=JCVISYN3A_0542] [protein=Molecular chaperone] [protein_id=AVX54854.1] [location=complement(352102..353877)] [gbkey=CDS]</t>
  </si>
  <si>
    <t>CP016816.2_prot_AVX54855.1_288</t>
  </si>
  <si>
    <t>[gene=grpE] [locus_tag=JCVISYN3A_0543] [protein=Nucleotide exchange factor] [protein_id=AVX54855.1] [location=complement(353936..354538)] [gbkey=CDS]</t>
  </si>
  <si>
    <t>CP016816.2_prot_AVX54856.1_289</t>
  </si>
  <si>
    <t>[gene=hrcA] [locus_tag=JCVISYN3A_0544] [protein=Heat-inducible transcription repressor] [protein_id=AVX54856.1] [location=complement(354540..355562)] [gbkey=CDS]</t>
  </si>
  <si>
    <t>CP016816.2_prot_AVX54857.1_290</t>
  </si>
  <si>
    <t>[gene=clpB] [locus_tag=JCVISYN3A_0545] [protein=ATP-dependent Clp protease subunit B] [protein_id=AVX54857.1] [location=complement(355567..357708)] [gbkey=CDS]</t>
  </si>
  <si>
    <t>CP016816.2_prot_AVX54858.1_292</t>
  </si>
  <si>
    <t>[locus_tag=JCVISYN3A_0548] [protein=tRNA (cytidine(34)-2'-O)-methyltransferase] [protein_id=AVX54858.1] [location=complement(358736..359281)] [gbkey=CDS]</t>
  </si>
  <si>
    <t>CP016816.2_prot_AVX54859.1_293</t>
  </si>
  <si>
    <t>[gene=rgdB] [locus_tag=JCVISYN3A_0549] [protein=Non-canonical purine NTP pyrophosphatase] [protein_id=AVX54859.1] [location=complement(359294..359896)] [gbkey=CDS]</t>
  </si>
  <si>
    <t>CP016816.2_prot_AVX54860.1_294</t>
  </si>
  <si>
    <t>[gene=met14p] [locus_tag=JCVISYN3A_0931] [protein=Adenylyl-sulfate kinase] [protein_id=AVX54860.1] [location=360403..361011] [gbkey=CDS]</t>
  </si>
  <si>
    <t>CP016816.2_prot_AVX54861.1_295</t>
  </si>
  <si>
    <t>[locus_tag=JCVISYN3A_0592] [protein=Uncharacterized protein] [protein_id=AVX54861.1] [location=complement(361575..362774)] [gbkey=CDS]</t>
  </si>
  <si>
    <t>CP016816.2_prot_AVX54863.1_297</t>
  </si>
  <si>
    <t>[locus_tag=JCVISYN3A_0599] [protein=Uncharacterized protein] [protein_id=AVX54863.1] [location=complement(363818..363958)] [gbkey=CDS]</t>
  </si>
  <si>
    <t>CP016816.2_prot_AVX54864.1_298</t>
  </si>
  <si>
    <t>[gene=rnjA] [locus_tag=JCVISYN3A_0600] [protein=Ribonuclease J] [protein_id=AVX54864.1] [location=364772..366604] [gbkey=CDS]</t>
  </si>
  <si>
    <t>CP016816.2_prot_AVX54865.1_299</t>
  </si>
  <si>
    <t>[locus_tag=JCVISYN3A_0601] [protein=Uncharacterized protein] [protein_id=AVX54865.1] [location=366679..367623] [gbkey=CDS]</t>
  </si>
  <si>
    <t>CP016816.2_prot_AVX54866.1_301</t>
  </si>
  <si>
    <t>[locus_tag=JCVISYN3A_0604] [protein=Uncharacterized protein] [protein_id=AVX54866.1] [location=369520..370188] [gbkey=CDS]</t>
  </si>
  <si>
    <t>CP016816.2_prot_AVX54867.1_302</t>
  </si>
  <si>
    <t>[locus_tag=JCVISYN3A_0605] [protein=Uncharacterized protein] [protein_id=AVX54867.1] [location=370371..370679] [gbkey=CDS]</t>
  </si>
  <si>
    <t>CP016816.2_prot_AVX54868.1_303</t>
  </si>
  <si>
    <t>[gene=pgk] [locus_tag=JCVISYN3A_0606] [protein=Phosphoglycerate kinase] [protein_id=AVX54868.1] [location=complement(370946..372160)] [gbkey=CDS]</t>
  </si>
  <si>
    <t>CP016816.2_prot_AVX54869.1_304</t>
  </si>
  <si>
    <t>[gene=gapDH] [locus_tag=JCVISYN3A_0607] [protein=Type I glyceraldehyde-3-phosphate dehydrogenase] [protein_id=AVX54869.1] [location=complement(372272..373288)] [gbkey=CDS]</t>
  </si>
  <si>
    <t>CP016816.2_prot_AVX54870.1_305</t>
  </si>
  <si>
    <t>[gene=dnaI] [locus_tag=JCVISYN3A_0608] [protein=Primosomal protein] [protein_id=AVX54870.1] [location=complement(373389..374327)] [gbkey=CDS]</t>
  </si>
  <si>
    <t>CP016816.2_prot_AVX54871.1_306</t>
  </si>
  <si>
    <t>[gene=dnaB] [locus_tag=JCVISYN3A_0609] [protein=Chromosome replication initiation protein] [protein_id=AVX54871.1] [location=complement(374337..375521)] [gbkey=CDS]</t>
  </si>
  <si>
    <t>CP016816.2_prot_AVX54872.1_307</t>
  </si>
  <si>
    <t>[gene=mutM] [locus_tag=JCVISYN3A_0610] [protein=DNA-formamidopyrimidine glycosylase] [protein_id=AVX54872.1] [location=complement(375678..376502)] [gbkey=CDS]</t>
  </si>
  <si>
    <t>CP016816.2_prot_AVX54873.1_308</t>
  </si>
  <si>
    <t>[gene=polA] [locus_tag=JCVISYN3A_0611] [protein=DNA polymerase I] [protein_id=AVX54873.1] [location=complement(376513..379248)] [gbkey=CDS]</t>
  </si>
  <si>
    <t>CP016816.2_prot_AVX54874.1_309</t>
  </si>
  <si>
    <t>[gene=dnaE] [locus_tag=JCVISYN3A_0612] [protein=DNA polymerase III subunit alpha] [protein_id=AVX54874.1] [location=complement(379257..382220)] [gbkey=CDS]</t>
  </si>
  <si>
    <t>CP016816.2_prot_AVX54875.1_310</t>
  </si>
  <si>
    <t>[gene=tyrRS] [locus_tag=JCVISYN3A_0613] [protein=Tyrosine--tRNA ligase] [protein_id=AVX54875.1] [location=complement(382415..383659)] [gbkey=CDS]</t>
  </si>
  <si>
    <t>CP016816.2_prot_AVX54876.1_311</t>
  </si>
  <si>
    <t>[gene=pncB] [locus_tag=JCVISYN3A_0614] [protein=Nicotinate phosphoribosyltransferase] [protein_id=AVX54876.1] [location=complement(383668..384729)] [gbkey=CDS]</t>
  </si>
  <si>
    <t>CP016816.2_prot_AVX54877.1_312</t>
  </si>
  <si>
    <t>[locus_tag=JCVISYN3A_0615] [protein=Uncharacterized protein] [protein_id=AVX54877.1] [location=complement(384707..385315)] [gbkey=CDS]</t>
  </si>
  <si>
    <t>CP016816.2_prot_AVX54878.1_313</t>
  </si>
  <si>
    <t>[gene=fakB] [locus_tag=JCVISYN3A_0616] [protein=Fatty acid binding protein] [protein_id=AVX54878.1] [location=385390..386229] [gbkey=CDS]</t>
  </si>
  <si>
    <t>CP016816.2_prot_AVX54879.1_314</t>
  </si>
  <si>
    <t>[gene=fakB] [locus_tag=JCVISYN3A_0617] [protein=Fatty acid binding protein] [protein_id=AVX54879.1] [location=386240..387091] [gbkey=CDS]</t>
  </si>
  <si>
    <t>CP016816.2_prot_AVX54880.1_315</t>
  </si>
  <si>
    <t>[locus_tag=JCVISYN3A_0620] [protein=Uncharacterized transcriptional regulator] [protein_id=AVX54880.1] [location=complement(387390..387854)] [gbkey=CDS]</t>
  </si>
  <si>
    <t>CP016816.2_prot_AVX54881.1_316</t>
  </si>
  <si>
    <t>[gene=acpA] [locus_tag=JCVISYN3A_0621] [protein=Acyl carrier protein] [protein_id=AVX54881.1] [location=complement(387855..388076)] [gbkey=CDS]</t>
  </si>
  <si>
    <t>CP016816.2_prot_AVX54884.1_319</t>
  </si>
  <si>
    <t>[gene=leuRS] [locus_tag=JCVISYN3A_0634] [protein=Leucine--tRNA ligase] [protein_id=AVX54884.1] [location=complement(389882..392296)] [gbkey=CDS]</t>
  </si>
  <si>
    <t>CP016816.2_prot_AVX54885.1_320</t>
  </si>
  <si>
    <t>[locus_tag=JCVISYN3A_0636] [protein=Uncharacterized lipoprotein] [protein_id=AVX54885.1] [location=complement(392583..395372)] [gbkey=CDS]</t>
  </si>
  <si>
    <t>CP016816.2_prot_AVX54886.1_321</t>
  </si>
  <si>
    <t>[gene=rpsI] [locus_tag=JCVISYN3A_0637] [protein=30S ribosomal protein S9] [protein_id=AVX54886.1] [location=complement(395531..395929)] [gbkey=CDS]</t>
  </si>
  <si>
    <t>CP016816.2_prot_AVX54887.1_322</t>
  </si>
  <si>
    <t>[gene=rplM] [locus_tag=JCVISYN3A_0638] [protein=50S ribosomal protein L13] [protein_id=AVX54887.1] [location=complement(395929..396384)] [gbkey=CDS]</t>
  </si>
  <si>
    <t>CP016816.2_prot_AVX54888.1_323</t>
  </si>
  <si>
    <t>[locus_tag=JCVISYN3A_0639] [protein=Uncharacterized efflux ABC transporter permease] [protein_id=AVX54888.1] [location=complement(396514..400659)] [gbkey=CDS]</t>
  </si>
  <si>
    <t>CP016816.2_prot_AVX54889.1_324</t>
  </si>
  <si>
    <t>[gene=truA] [locus_tag=JCVISYN3A_0640] [protein=tRNA pseudouridine(38-40) synthase] [protein_id=AVX54889.1] [location=complement(400754..401509)] [gbkey=CDS]</t>
  </si>
  <si>
    <t>CP016816.2_prot_AVX54890.1_325</t>
  </si>
  <si>
    <t>[gene=ecfT] [locus_tag=JCVISYN3A_0641] [protein=ECF transporter T component] [protein_id=AVX54890.1] [location=complement(401512..402522)] [gbkey=CDS]</t>
  </si>
  <si>
    <t>CP016816.2_prot_AVX54891.1_326</t>
  </si>
  <si>
    <t>[gene=ecfA] [locus_tag=JCVISYN3A_0642] [protein=ECF transporter ATPase] [protein_id=AVX54891.1] [location=complement(402536..403447)] [gbkey=CDS]</t>
  </si>
  <si>
    <t>CP016816.2_prot_AVX54892.1_327</t>
  </si>
  <si>
    <t>[gene=ecfA] [locus_tag=JCVISYN3A_0643] [protein=ECF transporter ATPase] [protein_id=AVX54892.1] [location=complement(403435..404661)] [gbkey=CDS]</t>
  </si>
  <si>
    <t>CP016816.2_prot_AVX54893.1_328</t>
  </si>
  <si>
    <t>[gene=rplQ] [locus_tag=JCVISYN3A_0644] [protein=50S ribosomal protein L17] [protein_id=AVX54893.1] [location=complement(404769..405128)] [gbkey=CDS]</t>
  </si>
  <si>
    <t>CP016816.2_prot_AVX54894.1_329</t>
  </si>
  <si>
    <t>[gene=rpoA] [locus_tag=JCVISYN3A_0645] [protein=DNA-directed RNA polymerase subunit alpha] [protein_id=AVX54894.1] [location=complement(405148..406101)] [gbkey=CDS]</t>
  </si>
  <si>
    <t>CP016816.2_prot_AVX54895.1_330</t>
  </si>
  <si>
    <t>[gene=rpsK] [locus_tag=JCVISYN3A_0646] [protein=30S ribosomal protein S11] [protein_id=AVX54895.1] [location=complement(406105..406494)] [gbkey=CDS]</t>
  </si>
  <si>
    <t>CP016816.2_prot_AVX54896.1_331</t>
  </si>
  <si>
    <t>[gene=rpsM] [locus_tag=JCVISYN3A_0647] [protein=30S ribosomal protein S13] [protein_id=AVX54896.1] [location=complement(406520..406885)] [gbkey=CDS]</t>
  </si>
  <si>
    <t>CP016816.2_prot_AVX54897.1_332</t>
  </si>
  <si>
    <t>[gene=rpmJ] [locus_tag=JCVISYN3A_0648] [protein=50S ribosomal protein L36] [protein_id=AVX54897.1] [location=complement(406922..407035)] [gbkey=CDS]</t>
  </si>
  <si>
    <t>CP016816.2_prot_AVX54898.1_333</t>
  </si>
  <si>
    <t>[gene=infA] [locus_tag=JCVISYN3A_0649] [protein=Translation initiation factor IF-1] [protein_id=AVX54898.1] [location=complement(407104..407328)] [gbkey=CDS]</t>
  </si>
  <si>
    <t>CP016816.2_prot_AVX54899.1_334</t>
  </si>
  <si>
    <t>[gene=map] [locus_tag=JCVISYN3A_0650] [protein=Type I methionyl aminopeptidase] [protein_id=AVX54899.1] [location=complement(407340..408095)] [gbkey=CDS]</t>
  </si>
  <si>
    <t>CP016816.2_prot_AVX54900.1_335</t>
  </si>
  <si>
    <t>[gene=adk] [locus_tag=JCVISYN3A_0651] [protein=Adenylate kinase] [protein_id=AVX54900.1] [location=complement(408095..408736)] [gbkey=CDS]</t>
  </si>
  <si>
    <t>CP016816.2_prot_AVX54901.1_336</t>
  </si>
  <si>
    <t>[gene=secY] [locus_tag=JCVISYN3A_0652] [protein=Preprotein translocase subunit] [protein_id=AVX54901.1] [location=complement(408864..410312)] [gbkey=CDS]</t>
  </si>
  <si>
    <t>CP016816.2_prot_AVX54902.1_337</t>
  </si>
  <si>
    <t>[gene=rplO] [locus_tag=JCVISYN3A_0653] [protein=50S ribosomal protein L15] [protein_id=AVX54902.1] [location=complement(410312..410749)] [gbkey=CDS]</t>
  </si>
  <si>
    <t>CP016816.2_prot_AVX54903.1_338</t>
  </si>
  <si>
    <t>[gene=rpsE] [locus_tag=JCVISYN3A_0654] [protein=30S ribosomal protein S5] [protein_id=AVX54903.1] [location=complement(410768..411532)] [gbkey=CDS]</t>
  </si>
  <si>
    <t>CP016816.2_prot_AVX54904.1_339</t>
  </si>
  <si>
    <t>[gene=rplR] [locus_tag=JCVISYN3A_0655] [protein=50S ribosomal protein L18] [protein_id=AVX54904.1] [location=complement(411551..411901)] [gbkey=CDS]</t>
  </si>
  <si>
    <t>CP016816.2_prot_AVX54905.1_340</t>
  </si>
  <si>
    <t>[gene=rplF] [locus_tag=JCVISYN3A_0656] [protein=50S ribosomal protein L6] [protein_id=AVX54905.1] [location=complement(411927..412469)] [gbkey=CDS]</t>
  </si>
  <si>
    <t>CP016816.2_prot_AVX54906.1_341</t>
  </si>
  <si>
    <t>[gene=rpsH] [locus_tag=JCVISYN3A_0657] [protein=30S ribosomal protein S8] [protein_id=AVX54906.1] [location=complement(412483..412872)] [gbkey=CDS]</t>
  </si>
  <si>
    <t>CP016816.2_prot_AVX54907.1_342</t>
  </si>
  <si>
    <t>[gene=rpsN] [locus_tag=JCVISYN3A_0658] [protein=30S ribosomal protein S14] [protein_id=AVX54907.1] [location=complement(412892..413077)] [gbkey=CDS]</t>
  </si>
  <si>
    <t>CP016816.2_prot_AVX54908.1_343</t>
  </si>
  <si>
    <t>[gene=rplE] [locus_tag=JCVISYN3A_0659] [protein=50S ribosomal protein L5] [protein_id=AVX54908.1] [location=complement(413096..413638)] [gbkey=CDS]</t>
  </si>
  <si>
    <t>CP016816.2_prot_AVX54909.1_344</t>
  </si>
  <si>
    <t>[gene=rplX] [locus_tag=JCVISYN3A_0660] [protein=50S ribosomal protein L24] [protein_id=AVX54909.1] [location=complement(413657..413983)] [gbkey=CDS]</t>
  </si>
  <si>
    <t>CP016816.2_prot_AVX54910.1_345</t>
  </si>
  <si>
    <t>[gene=rplN] [locus_tag=JCVISYN3A_0661] [protein=50S ribosomal protein L14] [protein_id=AVX54910.1] [location=complement(413997..414365)] [gbkey=CDS]</t>
  </si>
  <si>
    <t>CP016816.2_prot_AVX54911.1_346</t>
  </si>
  <si>
    <t>[gene=rpsQ] [locus_tag=JCVISYN3A_0662] [protein=30S ribosomal protein S17] [protein_id=AVX54911.1] [location=complement(414381..414641)] [gbkey=CDS]</t>
  </si>
  <si>
    <t>CP016816.2_prot_AVX54912.1_347</t>
  </si>
  <si>
    <t>[gene=rpmC] [locus_tag=JCVISYN3A_0663] [protein=50S ribosomal protein L29] [protein_id=AVX54912.1] [location=complement(414638..415054)] [gbkey=CDS]</t>
  </si>
  <si>
    <t>CP016816.2_prot_AVX54913.1_348</t>
  </si>
  <si>
    <t>[gene=rplP] [locus_tag=JCVISYN3A_0664] [protein=50S ribosomal protein L16] [protein_id=AVX54913.1] [location=complement(415054..415467)] [gbkey=CDS]</t>
  </si>
  <si>
    <t>CP016816.2_prot_AVX54914.1_349</t>
  </si>
  <si>
    <t>[gene=rpsC] [locus_tag=JCVISYN3A_0665] [protein=30S ribosomal protein S3] [protein_id=AVX54914.1] [location=complement(415470..416171)] [gbkey=CDS]</t>
  </si>
  <si>
    <t>CP016816.2_prot_AVX54915.1_350</t>
  </si>
  <si>
    <t>[gene=rplV] [locus_tag=JCVISYN3A_0666] [protein=50S ribosomal protein L22] [protein_id=AVX54915.1] [location=complement(416189..416524)] [gbkey=CDS]</t>
  </si>
  <si>
    <t>CP016816.2_prot_AVX54916.1_351</t>
  </si>
  <si>
    <t>[gene=rpsS] [locus_tag=JCVISYN3A_0667] [protein=30S ribosomal protein S19] [protein_id=AVX54916.1] [location=complement(416548..416814)] [gbkey=CDS]</t>
  </si>
  <si>
    <t>CP016816.2_prot_AVX54917.1_352</t>
  </si>
  <si>
    <t>[gene=rplB] [locus_tag=JCVISYN3A_0668] [protein=50S ribosomal protein L2] [protein_id=AVX54917.1] [location=complement(416836..417684)] [gbkey=CDS]</t>
  </si>
  <si>
    <t>CP016816.2_prot_AVX54918.1_353</t>
  </si>
  <si>
    <t>[gene=rplW] [locus_tag=JCVISYN3A_0669] [protein=50S ribosomal protein L23] [protein_id=AVX54918.1] [location=complement(417739..418023)] [gbkey=CDS]</t>
  </si>
  <si>
    <t>CP016816.2_prot_AVX54919.1_354</t>
  </si>
  <si>
    <t>[gene=rplD] [locus_tag=JCVISYN3A_0670] [protein=50S ribosomal protein L4] [protein_id=AVX54919.1] [location=complement(418023..418649)] [gbkey=CDS]</t>
  </si>
  <si>
    <t>CP016816.2_prot_AVX54920.1_355</t>
  </si>
  <si>
    <t>[gene=rplC] [locus_tag=JCVISYN3A_0671] [protein=50S ribosomal protein L3] [protein_id=AVX54920.1] [location=complement(418662..419333)] [gbkey=CDS]</t>
  </si>
  <si>
    <t>CP016816.2_prot_AVX54921.1_356</t>
  </si>
  <si>
    <t>[gene=rpsJ] [locus_tag=JCVISYN3A_0672] [protein=30S ribosomal protein S10] [protein_id=AVX54921.1] [location=complement(419409..419717)] [gbkey=CDS]</t>
  </si>
  <si>
    <t>CP016816.2_prot_AVX54922.1_357</t>
  </si>
  <si>
    <t>[gene=folD] [locus_tag=JCVISYN3A_0684] [protein=Bifunctional 5,10-methylene-tetrahydrofolate dehydrogenase/5,10-methylene-tetrahydrofolate cyclohydrolase] [protein_id=AVX54922.1] [location=complement(420991..421857)] [gbkey=CDS]</t>
  </si>
  <si>
    <t>CP016816.2_prot_AVX54923.1_358</t>
  </si>
  <si>
    <t>[gene=natA] [locus_tag=JCVISYN3A_0685] [protein=Sodium transporter] [protein_id=AVX54923.1] [location=complement(421866..423467)] [gbkey=CDS]</t>
  </si>
  <si>
    <t>CP016816.2_prot_AVX54924.1_359</t>
  </si>
  <si>
    <t>[gene=trkA] [locus_tag=JCVISYN3A_0686] [protein=Potassium transporter] [protein_id=AVX54924.1] [location=423546..424274] [gbkey=CDS]</t>
  </si>
  <si>
    <t>CP016816.2_prot_AVX54925.1_360</t>
  </si>
  <si>
    <t>[gene=gatB] [locus_tag=JCVISYN3A_0687] [protein=Glutamyl-tRNA amidotransferase subunit B] [protein_id=AVX54925.1] [location=complement(424301..425740)] [gbkey=CDS]</t>
  </si>
  <si>
    <t>CP016816.2_prot_AVX54926.1_361</t>
  </si>
  <si>
    <t>[gene=gatA] [locus_tag=JCVISYN3A_0688] [protein=Glutamyl-tRNA amidotransferase subunit A] [protein_id=AVX54926.1] [location=complement(425742..427199)] [gbkey=CDS]</t>
  </si>
  <si>
    <t>CP016816.2_prot_AVX54927.1_362</t>
  </si>
  <si>
    <t>[gene=gatC] [locus_tag=JCVISYN3A_0689] [protein=Glutamyl-tRNA amidotransferase subunit C] [protein_id=AVX54927.1] [location=complement(427199..427495)] [gbkey=CDS]</t>
  </si>
  <si>
    <t>CP016816.2_prot_AVX54928.1_363</t>
  </si>
  <si>
    <t>[gene=ligA] [locus_tag=JCVISYN3A_0690] [protein=DNA ligase (NAD(+))] [protein_id=AVX54928.1] [location=complement(427497..429503)] [gbkey=CDS]</t>
  </si>
  <si>
    <t>CP016816.2_prot_AVX54929.1_364</t>
  </si>
  <si>
    <t>[locus_tag=JCVISYN3A_0691] [protein=Uncharacterized protein] [protein_id=AVX54929.1] [location=complement(429507..431528)] [gbkey=CDS]</t>
  </si>
  <si>
    <t>CP016816.2_prot_AVX54930.1_365</t>
  </si>
  <si>
    <t>[locus_tag=JCVISYN3A_0692] [protein=Uncharacterized pseudouridine synthase] [protein_id=AVX54930.1] [location=complement(431531..432439)] [gbkey=CDS]</t>
  </si>
  <si>
    <t>CP016816.2_prot_AVX54931.1_366</t>
  </si>
  <si>
    <t>[locus_tag=JCVISYN3A_0693] [protein=Uncharacterized protease] [protein_id=AVX54931.1] [location=complement(432442..433410)] [gbkey=CDS]</t>
  </si>
  <si>
    <t>CP016816.2_prot_AVX54932.1_367</t>
  </si>
  <si>
    <t>[gene=ptsH] [locus_tag=JCVISYN3A_0694] [protein=Phosphocarrier protein] [protein_id=AVX54932.1] [location=complement(433466..433735)] [gbkey=CDS]</t>
  </si>
  <si>
    <t>CP016816.2_prot_AVX54933.1_368</t>
  </si>
  <si>
    <t>[gene=pcrA] [locus_tag=JCVISYN3A_0695] [protein=ATP-dependent DNA helicase] [protein_id=AVX54933.1] [location=complement(433800..435968)] [gbkey=CDS]</t>
  </si>
  <si>
    <t>CP016816.2_prot_AVX54934.1_369</t>
  </si>
  <si>
    <t>[locus_tag=JCVISYN3A_0696] [protein=Uncharacterized transporter] [protein_id=AVX54934.1] [location=complement(435985..436740)] [gbkey=CDS]</t>
  </si>
  <si>
    <t>CP016816.2_prot_AVX54935.1_370</t>
  </si>
  <si>
    <t>[locus_tag=JCVISYN3A_0697] [protein=Uncharacterized glycosyl transferase] [protein_id=AVX54935.1] [location=complement(436740..437696)] [gbkey=CDS]</t>
  </si>
  <si>
    <t>CP016816.2_prot_AVX54936.1_371</t>
  </si>
  <si>
    <t>[gene=thiB] [locus_tag=JCVISYN3A_0706] [protein=Thiamine ABC transporter permease] [protein_id=AVX54936.1] [location=complement(438118..439866)] [gbkey=CDS]</t>
  </si>
  <si>
    <t>CP016816.2_prot_AVX54937.1_372</t>
  </si>
  <si>
    <t>[gene=thiQ] [locus_tag=JCVISYN3A_0707] [protein=Thiamine ABC transporter ATP-binding protein] [protein_id=AVX54937.1] [location=complement(439830..440579)] [gbkey=CDS]</t>
  </si>
  <si>
    <t>CP016816.2_prot_AVX54938.1_373</t>
  </si>
  <si>
    <t>[gene=thiB] [locus_tag=JCVISYN3A_0708] [protein=Thiamine ABC transporter substrate-binding protein] [protein_id=AVX54938.1] [location=complement(440593..442056)] [gbkey=CDS]</t>
  </si>
  <si>
    <t>CP016816.2_prot_AVX54939.1_374</t>
  </si>
  <si>
    <t>[locus_tag=JCVISYN3A_0710] [protein=Uncharacterized hydrolase] [protein_id=AVX54939.1] [location=complement(442279..443142)] [gbkey=CDS]</t>
  </si>
  <si>
    <t>CP016816.2_prot_AVX54940.1_375</t>
  </si>
  <si>
    <t>[gene=nagB] [locus_tag=JCVISYN3A_0726] [protein=Glucosamine-6-phosphate deaminase] [protein_id=AVX54940.1] [location=444438..445172] [gbkey=CDS]</t>
  </si>
  <si>
    <t>CP016816.2_prot_AVX54941.1_376</t>
  </si>
  <si>
    <t>[gene=tpiA] [locus_tag=JCVISYN3A_0727] [protein=Triose-phosphate isomerase] [protein_id=AVX54941.1] [location=445270..446016] [gbkey=CDS]</t>
  </si>
  <si>
    <t>CP016816.2_prot_AVX54942.1_377</t>
  </si>
  <si>
    <t>[locus_tag=JCVISYN3A_0728] [protein=Uncharacterized hydrolase] [protein_id=AVX54942.1] [location=446009..446845] [gbkey=CDS]</t>
  </si>
  <si>
    <t>CP016816.2_prot_AVX54943.1_378</t>
  </si>
  <si>
    <t>[gene=pgm] [locus_tag=JCVISYN3A_0729] [protein=Phosphoglycerate mutase (2,3-diphosphoglycerate-independent)] [protein_id=AVX54943.1] [location=446848..448443] [gbkey=CDS]</t>
  </si>
  <si>
    <t>CP016816.2_prot_AVX54944.1_379</t>
  </si>
  <si>
    <t>[locus_tag=JCVISYN3A_0730] [protein=Uncharacterized protein] [protein_id=AVX54944.1] [location=448543..449142] [gbkey=CDS]</t>
  </si>
  <si>
    <t>CP016816.2_prot_AVX54945.1_380</t>
  </si>
  <si>
    <t>[gene=deoC] [locus_tag=JCVISYN3A_0732] [protein=Deoxyribose-phosphate aldolase] [protein_id=AVX54945.1] [location=complement(449195..449863)] [gbkey=CDS]</t>
  </si>
  <si>
    <t>CP016816.2_prot_AVX54946.1_381</t>
  </si>
  <si>
    <t>[gene=deoB] [locus_tag=JCVISYN3A_0733] [protein=Phosphopentomutase] [protein_id=AVX54946.1] [location=complement(449875..451551)] [gbkey=CDS]</t>
  </si>
  <si>
    <t>CP016816.2_prot_AVX54947.1_382</t>
  </si>
  <si>
    <t>[gene=punA] [locus_tag=JCVISYN3A_0747] [protein=Purine-nucleoside phosphorylase] [protein_id=AVX54947.1] [location=451915..452568] [gbkey=CDS]</t>
  </si>
  <si>
    <t>CP016816.2_prot_AVX54948.1_383</t>
  </si>
  <si>
    <t>[gene=nrdE] [locus_tag=JCVISYN3A_0771] [protein=Ribonucleotide-diphosphate reductase subunit alpha] [protein_id=AVX54948.1] [location=complement(452721..454883)] [gbkey=CDS]</t>
  </si>
  <si>
    <t>CP016816.2_prot_AVX54949.1_384</t>
  </si>
  <si>
    <t>[gene=nrdI] [locus_tag=JCVISYN3A_0772] [protein=Ribonucleotide reductase assembly protein] [protein_id=AVX54949.1] [location=complement(454870..455343)] [gbkey=CDS]</t>
  </si>
  <si>
    <t>CP016816.2_prot_AVX54950.1_385</t>
  </si>
  <si>
    <t>[gene=nrdF] [locus_tag=JCVISYN3A_0773] [protein=Ribonucleoside-diphosphate reductase subunit beta] [protein_id=AVX54950.1] [location=complement(455352..456371)] [gbkey=CDS]</t>
  </si>
  <si>
    <t>CP016816.2_prot_AVX54951.1_386</t>
  </si>
  <si>
    <t>[gene=secG] [locus_tag=JCVISYN3A_0774] [protein=Preprotein translocase subunit] [protein_id=AVX54951.1] [location=456670..456954] [gbkey=CDS]</t>
  </si>
  <si>
    <t>CP016816.2_prot_AVX54952.1_387</t>
  </si>
  <si>
    <t>[gene=rnr] [locus_tag=JCVISYN3A_0775] [protein=Ribonuclease R] [protein_id=AVX54952.1] [location=456990..459104] [gbkey=CDS]</t>
  </si>
  <si>
    <t>CP016816.2_prot_AVX54953.1_388</t>
  </si>
  <si>
    <t>[gene=smpB] [locus_tag=JCVISYN3A_0776] [protein=SsrA-binding protein] [protein_id=AVX54953.1] [location=459114..459560] [gbkey=CDS]</t>
  </si>
  <si>
    <t>CP016816.2_prot_AVX54954.1_389</t>
  </si>
  <si>
    <t>[locus_tag=JCVISYN3A_0777] [protein=Uncharacterized protein] [protein_id=AVX54954.1] [location=459560..460045] [gbkey=CDS]</t>
  </si>
  <si>
    <t>CP016816.2_prot_AVX54955.1_390</t>
  </si>
  <si>
    <t>[locus_tag=JCVISYN3A_0778] [protein=Uncharacterized protein] [protein_id=AVX54955.1] [location=460165..460416] [gbkey=CDS]</t>
  </si>
  <si>
    <t>CP016816.2_prot_AVX54956.1_391</t>
  </si>
  <si>
    <t>[gene=ptsG] [locus_tag=JCVISYN3A_0779] [protein=PTS sugar transporter] [protein_id=AVX54956.1] [location=460467..462704] [gbkey=CDS]</t>
  </si>
  <si>
    <t>CP016816.2_prot_AVX54957.1_392</t>
  </si>
  <si>
    <t>[gene=mgtA] [locus_tag=JCVISYN3A_0787] [protein=Magnesium-translocating P-type ATPase] [protein_id=AVX54957.1] [location=complement(463042..465870)] [gbkey=CDS]</t>
  </si>
  <si>
    <t>CP016816.2_prot_AVX54958.1_393</t>
  </si>
  <si>
    <t>[gene=atpC] [locus_tag=JCVISYN3A_0789] [protein=F0F1 ATP synthase subunit delta/epsilon] [protein_id=AVX54958.1] [location=complement(466288..466587)] [gbkey=CDS]</t>
  </si>
  <si>
    <t>CP016816.2_prot_AVX54959.1_394</t>
  </si>
  <si>
    <t>[gene=atpD] [locus_tag=JCVISYN3A_0790] [protein=F0F1 ATP synthase subunit beta] [protein_id=AVX54959.1] [location=complement(466587..468014)] [gbkey=CDS]</t>
  </si>
  <si>
    <t>CP016816.2_prot_AVX54960.1_395</t>
  </si>
  <si>
    <t>[gene=atpG] [locus_tag=JCVISYN3A_0791] [protein=F0F1 ATP synthase subunit gamma] [protein_id=AVX54960.1] [location=complement(468023..468865)] [gbkey=CDS]</t>
  </si>
  <si>
    <t>CP016816.2_prot_AVX54961.1_396</t>
  </si>
  <si>
    <t>[gene=atpA] [locus_tag=JCVISYN3A_0792] [protein=F0F1 ATP synthase subunit alpha] [protein_id=AVX54961.1] [location=complement(468867..470444)] [gbkey=CDS]</t>
  </si>
  <si>
    <t>CP016816.2_prot_AVX54962.1_397</t>
  </si>
  <si>
    <t>[gene=atpD] [locus_tag=JCVISYN3A_0793] [protein=F0F1 ATP synthase subunit delta] [protein_id=AVX54962.1] [location=complement(470456..471001)] [gbkey=CDS]</t>
  </si>
  <si>
    <t>CP016816.2_prot_AVX54963.1_398</t>
  </si>
  <si>
    <t>[gene=atpF] [locus_tag=JCVISYN3A_0794] [protein=F0F1 ATP synthase subunit B] [protein_id=AVX54963.1] [location=complement(471003..471548)] [gbkey=CDS]</t>
  </si>
  <si>
    <t>CP016816.2_prot_AVX54965.1_400</t>
  </si>
  <si>
    <t>[gene=atpB] [locus_tag=JCVISYN3A_0796] [protein=F0F1 ATP synthase subunit A] [protein_id=AVX54965.1] [location=complement(471912..472775)] [gbkey=CDS]</t>
  </si>
  <si>
    <t>CP016816.2_prot_AVX54967.1_402</t>
  </si>
  <si>
    <t>[gene=upp] [locus_tag=JCVISYN3A_0798] [protein=Uracil phosphoribosyltransferase] [protein_id=AVX54967.1] [location=complement(473313..473936)] [gbkey=CDS]</t>
  </si>
  <si>
    <t>CP016816.2_prot_AVX54968.1_403</t>
  </si>
  <si>
    <t>[gene=glyA] [locus_tag=JCVISYN3A_0799] [protein=Serine hydroxymethyltransferase] [protein_id=AVX54968.1] [location=complement(474036..475277)] [gbkey=CDS]</t>
  </si>
  <si>
    <t>CP016816.2_prot_AVX54969.1_404</t>
  </si>
  <si>
    <t>[gene=rpiB] [locus_tag=JCVISYN3A_0800] [protein=Ribose 5-phosphate isomerase B] [protein_id=AVX54969.1] [location=complement(475261..475704)] [gbkey=CDS]</t>
  </si>
  <si>
    <t>CP016816.2_prot_AVX54970.1_405</t>
  </si>
  <si>
    <t>[gene=rpoC] [locus_tag=JCVISYN3A_0803] [protein=DNA-directed RNA polymerase subunit beta'] [protein_id=AVX54970.1] [location=complement(475872..479639)] [gbkey=CDS]</t>
  </si>
  <si>
    <t>CP016816.2_prot_AVX54971.1_406</t>
  </si>
  <si>
    <t>[gene=rpoB] [locus_tag=JCVISYN3A_0804] [protein=DNA-directed RNA polymerase subunit beta] [protein_id=AVX54971.1] [location=complement(479651..483526)] [gbkey=CDS]</t>
  </si>
  <si>
    <t>CP016816.2_prot_AVX54972.1_407</t>
  </si>
  <si>
    <t>[locus_tag=JCVISYN3A_0805] [protein=Uncharacterized protein] [protein_id=AVX54972.1] [location=complement(483516..484691)] [gbkey=CDS]</t>
  </si>
  <si>
    <t>CP016816.2_prot_AVX54973.1_408</t>
  </si>
  <si>
    <t>[gene=rplG] [locus_tag=JCVISYN3A_0806] [protein=50S ribosomal protein L7/L12] [protein_id=AVX54973.1] [location=complement(484862..485230)] [gbkey=CDS]</t>
  </si>
  <si>
    <t>CP016816.2_prot_AVX54974.1_409</t>
  </si>
  <si>
    <t>[gene=rplJ] [locus_tag=JCVISYN3A_0807] [protein=50S ribosomal protein L10] [protein_id=AVX54974.1] [location=complement(485299..485796)] [gbkey=CDS]</t>
  </si>
  <si>
    <t>CP016816.2_prot_AVX54975.1_410</t>
  </si>
  <si>
    <t>[gene=rplA] [locus_tag=JCVISYN3A_0809] [protein=50S ribosomal protein L1] [protein_id=AVX54975.1] [location=complement(486023..486703)] [gbkey=CDS]</t>
  </si>
  <si>
    <t>CP016816.2_prot_AVX54976.1_411</t>
  </si>
  <si>
    <t>[gene=rplK] [locus_tag=JCVISYN3A_0810] [protein=50S ribosomal protein L11] [protein_id=AVX54976.1] [location=complement(486703..487131)] [gbkey=CDS]</t>
  </si>
  <si>
    <t>CP016816.2_prot_AVX54977.1_412</t>
  </si>
  <si>
    <t>[gene=galE] [locus_tag=JCVISYN3A_0813] [protein=UDP-glucose 4-epimerase GalE] [protein_id=AVX54977.1] [location=487642..488640] [gbkey=CDS]</t>
  </si>
  <si>
    <t>CP016816.2_prot_AVX54978.1_413</t>
  </si>
  <si>
    <t>[gene=glf] [locus_tag=JCVISYN3A_0814] [protein=UDP-galactopyranose mutase] [protein_id=AVX54978.1] [location=488654..489841] [gbkey=CDS]</t>
  </si>
  <si>
    <t>CP016816.2_prot_AVX54979.1_414</t>
  </si>
  <si>
    <t>[gene=whiA] [locus_tag=JCVISYN3A_0817] [protein=Uncharacterized DNA-binding protein] [protein_id=AVX54979.1] [location=complement(490471..491400)] [gbkey=CDS]</t>
  </si>
  <si>
    <t>CP016816.2_prot_AVX54980.1_415</t>
  </si>
  <si>
    <t>[gene=lgt] [locus_tag=JCVISYN3A_0818] [protein=Diacylglyceryl transferase] [protein_id=AVX54980.1] [location=complement(491413..492843)] [gbkey=CDS]</t>
  </si>
  <si>
    <t>CP016816.2_prot_AVX54981.1_416</t>
  </si>
  <si>
    <t>[gene=trx] [locus_tag=JCVISYN3A_0819] [protein=Thioredoxin-disulfide reductase] [protein_id=AVX54981.1] [location=complement(492852..493784)] [gbkey=CDS]</t>
  </si>
  <si>
    <t>CP016816.2_prot_AVX54982.1_417</t>
  </si>
  <si>
    <t>[gene=lgt] [locus_tag=JCVISYN3A_0820] [protein=Diacylglyceryl transferase] [protein_id=AVX54982.1] [location=complement(493768..495348)] [gbkey=CDS]</t>
  </si>
  <si>
    <t>CP016816.2_prot_AVX54983.1_418</t>
  </si>
  <si>
    <t>[gene=hpr; ptsH] [locus_tag=JCVISYN3A_0821] [protein=HPr(Ser) kinase/phosphatase] [protein_id=AVX54983.1] [location=complement(495359..496300)] [gbkey=CDS]</t>
  </si>
  <si>
    <t>CP016816.2_prot_AVX54984.1_419</t>
  </si>
  <si>
    <t>[gene=ecfS] [locus_tag=JCVISYN3A_0822] [protein=Uncharacterized ECF transporter S component] [protein_id=AVX54984.1] [location=complement(496384..497058)] [gbkey=CDS]</t>
  </si>
  <si>
    <t>CP016816.2_prot_AVX54985.1_420</t>
  </si>
  <si>
    <t>[gene=folC] [locus_tag=JCVISYN3A_0823] [protein=Dihydrofolate synthase] [protein_id=AVX54985.1] [location=complement(497075..498190)] [gbkey=CDS]</t>
  </si>
  <si>
    <t>CP016816.2_prot_AVX54986.1_421</t>
  </si>
  <si>
    <t>[gene=uvrA] [locus_tag=JCVISYN3A_0824] [protein=Excinuclease ABC subunit A] [protein_id=AVX54986.1] [location=complement(498183..501023)] [gbkey=CDS]</t>
  </si>
  <si>
    <t>CP016816.2_prot_AVX54987.1_422</t>
  </si>
  <si>
    <t>[gene=uvrB] [locus_tag=JCVISYN3A_0825] [protein=Excinuclease ABC subunit B] [protein_id=AVX54987.1] [location=complement(501032..503029)] [gbkey=CDS]</t>
  </si>
  <si>
    <t>CP016816.2_prot_AVX54988.1_423</t>
  </si>
  <si>
    <t>[gene=yqeN] [locus_tag=JCVISYN3A_0826] [protein=DNA polymerase III subunit delta] [protein_id=AVX54988.1] [location=503314..504264] [gbkey=CDS]</t>
  </si>
  <si>
    <t>CP016816.2_prot_AVX54989.1_424</t>
  </si>
  <si>
    <t>[locus_tag=JCVISYN3A_0827] [protein=Uncharacterized protein] [protein_id=AVX54989.1] [location=504267..505733] [gbkey=CDS]</t>
  </si>
  <si>
    <t>CP016816.2_prot_AVX54990.1_425</t>
  </si>
  <si>
    <t>[locus_tag=JCVISYN3A_0830] [protein=Uncharacterized protein] [protein_id=AVX54990.1] [location=506111..506371] [gbkey=CDS]</t>
  </si>
  <si>
    <t>CP016816.2_prot_AVX54991.1_426</t>
  </si>
  <si>
    <t>[gene=prs] [locus_tag=JCVISYN3A_0831] [protein=Phosphoribosylpyrophosphate synthetase] [protein_id=AVX54991.1] [location=506551..507585] [gbkey=CDS]</t>
  </si>
  <si>
    <t>CP016816.2_prot_AVX54992.1_427</t>
  </si>
  <si>
    <t>[gene=pth] [locus_tag=JCVISYN3A_0832] [protein=Aminoacyl-tRNA hydrolase] [protein_id=AVX54992.1] [location=508011..508571] [gbkey=CDS]</t>
  </si>
  <si>
    <t>CP016816.2_prot_AVX54993.1_428</t>
  </si>
  <si>
    <t>[gene=rplI] [locus_tag=JCVISYN3A_0833] [protein=50S ribosomal protein L9] [protein_id=AVX54993.1] [location=508692..509135] [gbkey=CDS]</t>
  </si>
  <si>
    <t>CP016816.2_prot_AVX54994.1_429</t>
  </si>
  <si>
    <t>[gene=dnaC] [locus_tag=JCVISYN3A_0834] [protein=Replicative DNA helicase] [protein_id=AVX54994.1] [location=509138..510454] [gbkey=CDS]</t>
  </si>
  <si>
    <t>CP016816.2_prot_AVX54995.1_430</t>
  </si>
  <si>
    <t>[locus_tag=JCVISYN3A_0835] [protein=Uncharacterized lipoprotein] [protein_id=AVX54995.1] [location=510521..511828] [gbkey=CDS]</t>
  </si>
  <si>
    <t>CP016816.2_prot_AVX54996.1_431</t>
  </si>
  <si>
    <t>[gene=ecfS] [locus_tag=JCVISYN3A_0836] [protein=Uncharacterized ECF transporter S component] [protein_id=AVX54996.1] [location=511970..512896] [gbkey=CDS]</t>
  </si>
  <si>
    <t>CP016816.2_prot_AVX54997.1_432</t>
  </si>
  <si>
    <t>[gene=cysRS] [locus_tag=JCVISYN3A_0837] [protein=Cysteine--tRNA ligase] [protein_id=AVX54997.1] [location=512905..514230] [gbkey=CDS]</t>
  </si>
  <si>
    <t>CP016816.2_prot_AVX54998.1_433</t>
  </si>
  <si>
    <t>[gene=rlmB] [locus_tag=JCVISYN3A_0838] [protein=23S rRNA (guanosine(2251)-2'-O)-methyltransferase] [protein_id=AVX54998.1] [location=514232..514966] [gbkey=CDS]</t>
  </si>
  <si>
    <t>CP016816.2_prot_AVX54999.1_434</t>
  </si>
  <si>
    <t>[gene=rpmG] [locus_tag=JCVISYN3A_0932] [protein=50S ribosomal protein L33] [protein_id=AVX54999.1] [location=515027..515188] [gbkey=CDS]</t>
  </si>
  <si>
    <t>CP016816.2_prot_AVX55000.1_435</t>
  </si>
  <si>
    <t>[gene=secE] [locus_tag=JCVISYN3A_0839] [protein=Preprotein translocase subunit] [protein_id=AVX55000.1] [location=515188..515511] [gbkey=CDS]</t>
  </si>
  <si>
    <t>CP016816.2_prot_AVX55001.1_436</t>
  </si>
  <si>
    <t>[gene=nusG] [locus_tag=JCVISYN3A_0840] [protein=Antitermination protein] [protein_id=AVX55001.1] [location=515528..516169] [gbkey=CDS]</t>
  </si>
  <si>
    <t>CP016816.2_prot_AVX55003.1_438</t>
  </si>
  <si>
    <t>[locus_tag=JCVISYN3A_0852] [protein=Uncharacterized protein] [protein_id=AVX55003.1] [location=complement(517023..517253)] [gbkey=CDS]</t>
  </si>
  <si>
    <t>CP016816.2_prot_AVX55004.1_439</t>
  </si>
  <si>
    <t>[locus_tag=JCVISYN3A_0853] [protein=Uncharacterized protein] [protein_id=AVX55004.1] [location=complement(517243..517962)] [gbkey=CDS]</t>
  </si>
  <si>
    <t>CP016816.2_prot_AVX55005.1_440</t>
  </si>
  <si>
    <t>[gene=topA] [locus_tag=JCVISYN3A_0859] [protein=DNA topoisomerase I] [protein_id=AVX55005.1] [location=518165..520126] [gbkey=CDS]</t>
  </si>
  <si>
    <t>CP016816.2_prot_AVX55006.1_441</t>
  </si>
  <si>
    <t>[locus_tag=JCVISYN3A_0870] [protein=Uncharacterized C4-dicarboxylate ABC transporter] [protein_id=AVX55006.1] [location=complement(520382..522148)] [gbkey=CDS]</t>
  </si>
  <si>
    <t>CP016816.2_prot_AVX55007.1_442</t>
  </si>
  <si>
    <t>[gene=ychF] [locus_tag=JCVISYN3A_0872] [protein=Uncharacterized ATPase] [protein_id=AVX55007.1] [location=complement(522217..523311)] [gbkey=CDS]</t>
  </si>
  <si>
    <t>CP016816.2_prot_AVX55008.1_443</t>
  </si>
  <si>
    <t>[locus_tag=JCVISYN3A_0873] [protein=Uncharacterized protein] [protein_id=AVX55008.1] [location=complement(523347..523547)] [gbkey=CDS]</t>
  </si>
  <si>
    <t>NaN</t>
  </si>
  <si>
    <t>CP016816.2_prot_AVX55009.1_444</t>
  </si>
  <si>
    <t>[gene=rsmG] [locus_tag=JCVISYN3A_0874] [protein=16S rRNA (guanine(527)-N(7))-methyltransferase] [protein_id=AVX55009.1] [location=complement(523549..524244)] [gbkey=CDS]</t>
  </si>
  <si>
    <t>CP016816.2_prot_AVX55010.1_445</t>
  </si>
  <si>
    <t>[gene=pgsA] [locus_tag=JCVISYN3A_0875] [protein=CDP-diacylglycerol--glycerol-3-phosphate 3-phosphatidyltransferase] [protein_id=AVX55010.1] [location=complement(524244..524840)] [gbkey=CDS]</t>
  </si>
  <si>
    <t>CP016816.2_prot_AVX55011.1_446</t>
  </si>
  <si>
    <t>[locus_tag=JCVISYN3A_0876] [protein=Uncharacterized amino acid permease] [protein_id=AVX55011.1] [location=complement(524942..526522)] [gbkey=CDS]</t>
  </si>
  <si>
    <t>CP016816.2_prot_AVX55012.1_447</t>
  </si>
  <si>
    <t>[locus_tag=JCVISYN3A_0877] [protein=Uncharacterized protein] [protein_id=AVX55012.1] [location=complement(526669..527349)] [gbkey=CDS]</t>
  </si>
  <si>
    <t>CP016816.2_prot_AVX55013.1_448</t>
  </si>
  <si>
    <t>[locus_tag=JCVISYN3A_0878] [protein=Uncharacterized amino acid permease] [protein_id=AVX55013.1] [location=complement(527321..528859)] [gbkey=CDS]</t>
  </si>
  <si>
    <t>CP016816.2_prot_AVX55014.1_449</t>
  </si>
  <si>
    <t>[gene=corA] [locus_tag=JCVISYN3A_0879] [protein=Magnesium transporter] [protein_id=AVX55014.1] [location=complement(528917..531574)] [gbkey=CDS]</t>
  </si>
  <si>
    <t>CP016816.2_prot_AVX55015.1_450</t>
  </si>
  <si>
    <t>[locus_tag=JCVISYN3A_0881] [protein=Uncharacterized MFS transporter] [protein_id=AVX55015.1] [location=complement(531973..533400)] [gbkey=CDS]</t>
  </si>
  <si>
    <t>CP016816.2_prot_AVX55016.1_451</t>
  </si>
  <si>
    <t>[gene=mnmG; gidA] [locus_tag=JCVISYN3A_0885] [protein=tRNA uridine(34) 5-carboxymethylaminomethyl synthesis enzyme] [protein_id=AVX55016.1] [location=complement(533864..535753)] [gbkey=CDS]</t>
  </si>
  <si>
    <t>CP016816.2_prot_AVX55017.1_452</t>
  </si>
  <si>
    <t>[gene=gltP] [locus_tag=JCVISYN3A_0886] [protein=Proton-glutamate symporter] [protein_id=AVX55017.1] [location=complement(535901..537478)] [gbkey=CDS]</t>
  </si>
  <si>
    <t>CP016816.2_prot_AVX55018.1_453</t>
  </si>
  <si>
    <t>[gene=cdr] [locus_tag=JCVISYN3A_0887] [protein=Coenzyme A Disulfide Reductase] [protein_id=AVX55018.1] [location=complement(537498..538841)] [gbkey=CDS]</t>
  </si>
  <si>
    <t>CP016816.2_prot_AVX55019.1_454</t>
  </si>
  <si>
    <t>[locus_tag=JCVISYN3A_0906] [protein=Uncharacterized protein] [protein_id=AVX55019.1] [location=complement(539821..540537)] [gbkey=CDS]</t>
  </si>
  <si>
    <t>CP016816.2_prot_AVX55020.1_455</t>
  </si>
  <si>
    <t>[locus_tag=JCVISYN3A_0907] [protein=Uncharacterized hydrolase] [protein_id=AVX55020.1] [location=complement(540537..541331)] [gbkey=CDS]</t>
  </si>
  <si>
    <t>CP016816.2_prot_AVX55021.1_456</t>
  </si>
  <si>
    <t>[gene=yidC] [locus_tag=JCVISYN3A_0908] [protein=Membrane protein insertase] [protein_id=AVX55021.1] [location=complement(541408..542598)] [gbkey=CDS]</t>
  </si>
  <si>
    <t>CP016816.2_prot_AVX55022.1_457</t>
  </si>
  <si>
    <t>[gene=rnpA] [locus_tag=JCVISYN3A_0909] [protein=Ribonuclease P protein component] [protein_id=AVX55022.1] [location=complement(542616..542945)] [gbkey=CDS]</t>
  </si>
  <si>
    <t>CP016816.2_prot_AVX55023.1_458</t>
  </si>
  <si>
    <t>[gene=rpmH] [locus_tag=JCVISYN3A_0910] [protein=50S ribosomal protein L34] [protein_id=AVX55023.1] [location=complement(542952..543086)] [gbkey=CDS]</t>
  </si>
  <si>
    <t>CP016816.2_prot_JCVISYN3A_0051_30</t>
  </si>
  <si>
    <t>[locus_tag=JCVISYN3A_0051] [pseudo=true] [location=complement(44397..45011)] [gbkey=CDS]</t>
  </si>
  <si>
    <t>CP016816.2_prot_JCVISYN3A_0546_291</t>
  </si>
  <si>
    <t>[locus_tag=JCVISYN3A_0546] [pseudo=true] [location=complement(357871..358736)] [gbkey=CDS]</t>
  </si>
  <si>
    <t>CP016816.2_prot_JCVISYN3A_0602_300</t>
  </si>
  <si>
    <t>[locus_tag=JCVISYN3A_0602] [pseudo=true] [location=367755..369517] [gbkey=CDS]</t>
  </si>
  <si>
    <t>Syn3</t>
  </si>
  <si>
    <t>20250220_JCVI_Syn3_rep3.raw</t>
  </si>
  <si>
    <t>20250220_JCVI_Syn3_rep2.raw</t>
  </si>
  <si>
    <t>20250220_JCVI_Syn3_rep1.raw</t>
  </si>
  <si>
    <t>Proteins</t>
  </si>
  <si>
    <t>ProteinGroups</t>
  </si>
  <si>
    <t>Peptides</t>
  </si>
  <si>
    <t>ModifiedSequences</t>
  </si>
  <si>
    <t>Precursors</t>
  </si>
  <si>
    <t>Replicate</t>
  </si>
  <si>
    <t>Condition</t>
  </si>
  <si>
    <t>FileName</t>
  </si>
  <si>
    <t>RunNr</t>
  </si>
  <si>
    <t>Syn3A_CP016816.2_aa</t>
  </si>
  <si>
    <t>FASTAName</t>
  </si>
  <si>
    <t>Protein Description</t>
  </si>
  <si>
    <t>Protein Name</t>
  </si>
  <si>
    <t>Accession</t>
  </si>
  <si>
    <t>Rank</t>
  </si>
  <si>
    <t>Log10_MedianQuantity, iBAQ</t>
  </si>
  <si>
    <t>Cumulative abundance</t>
  </si>
  <si>
    <t>Cumulative abundance, %</t>
  </si>
  <si>
    <t>%</t>
  </si>
  <si>
    <t>Locus_tag</t>
  </si>
  <si>
    <t>Protein ID</t>
  </si>
  <si>
    <t>JCVISYN3A_0475</t>
  </si>
  <si>
    <t>JCVISYN3A_0151</t>
  </si>
  <si>
    <t>JCVISYN3A_0665</t>
  </si>
  <si>
    <t>JCVISYN3A_0607</t>
  </si>
  <si>
    <t>JCVISYN3A_0542</t>
  </si>
  <si>
    <t>JCVISYN3A_0647</t>
  </si>
  <si>
    <t>JCVISYN3A_0667</t>
  </si>
  <si>
    <t>JCVISYN3A_0654</t>
  </si>
  <si>
    <t>JCVISYN3A_0659</t>
  </si>
  <si>
    <t>JCVISYN3A_0668</t>
  </si>
  <si>
    <t>JCVISYN3A_0150</t>
  </si>
  <si>
    <t>JCVISYN3A_0238</t>
  </si>
  <si>
    <t>JCVISYN3A_0806</t>
  </si>
  <si>
    <t>JCVISYN3A_0779</t>
  </si>
  <si>
    <t>JCVISYN3A_0522</t>
  </si>
  <si>
    <t>JCVISYN3A_0154</t>
  </si>
  <si>
    <t>JCVISYN3A_0645</t>
  </si>
  <si>
    <t>JCVISYN3A_0616</t>
  </si>
  <si>
    <t>JCVISYN3A_0365</t>
  </si>
  <si>
    <t>JCVISYN3A_0656</t>
  </si>
  <si>
    <t>JCVISYN3A_0638</t>
  </si>
  <si>
    <t>JCVISYN3A_0540</t>
  </si>
  <si>
    <t>JCVISYN3A_0305</t>
  </si>
  <si>
    <t>JCVISYN3A_0539</t>
  </si>
  <si>
    <t>JCVISYN3A_0253</t>
  </si>
  <si>
    <t>JCVISYN3A_0670</t>
  </si>
  <si>
    <t>JCVISYN3A_0227</t>
  </si>
  <si>
    <t>JCVISYN3A_0669</t>
  </si>
  <si>
    <t>JCVISYN3A_0660</t>
  </si>
  <si>
    <t>JCVISYN3A_0394</t>
  </si>
  <si>
    <t>JCVISYN3A_0809</t>
  </si>
  <si>
    <t>JCVISYN3A_0606</t>
  </si>
  <si>
    <t>JCVISYN3A_0528</t>
  </si>
  <si>
    <t>JCVISYN3A_0228</t>
  </si>
  <si>
    <t>JCVISYN3A_0129</t>
  </si>
  <si>
    <t>JCVISYN3A_0213</t>
  </si>
  <si>
    <t>JCVISYN3A_0149</t>
  </si>
  <si>
    <t>JCVISYN3A_0804</t>
  </si>
  <si>
    <t>JCVISYN3A_0297</t>
  </si>
  <si>
    <t>JCVISYN3A_0066</t>
  </si>
  <si>
    <t>JCVISYN3A_0338</t>
  </si>
  <si>
    <t>JCVISYN3A_0671</t>
  </si>
  <si>
    <t>JCVISYN3A_0798</t>
  </si>
  <si>
    <t>JCVISYN3A_0545</t>
  </si>
  <si>
    <t>JCVISYN3A_0163</t>
  </si>
  <si>
    <t>JCVISYN3A_0773</t>
  </si>
  <si>
    <t>JCVISYN3A_0440</t>
  </si>
  <si>
    <t>JCVISYN3A_0344</t>
  </si>
  <si>
    <t>JCVISYN3A_0529</t>
  </si>
  <si>
    <t>JCVISYN3A_0029</t>
  </si>
  <si>
    <t>JCVISYN3A_0663</t>
  </si>
  <si>
    <t>JCVISYN3A_0831</t>
  </si>
  <si>
    <t>JCVISYN3A_0076</t>
  </si>
  <si>
    <t>JCVISYN3A_0451</t>
  </si>
  <si>
    <t>JCVISYN3A_0230</t>
  </si>
  <si>
    <t>JCVISYN3A_0218</t>
  </si>
  <si>
    <t>JCVISYN3A_0803</t>
  </si>
  <si>
    <t>JCVISYN3A_0543</t>
  </si>
  <si>
    <t>JCVISYN3A_0637</t>
  </si>
  <si>
    <t>JCVISYN3A_0095</t>
  </si>
  <si>
    <t>JCVISYN3A_0807</t>
  </si>
  <si>
    <t>JCVISYN3A_0604</t>
  </si>
  <si>
    <t>JCVISYN3A_0220</t>
  </si>
  <si>
    <t>JCVISYN3A_0657</t>
  </si>
  <si>
    <t>JCVISYN3A_0115</t>
  </si>
  <si>
    <t>JCVISYN3A_0655</t>
  </si>
  <si>
    <t>JCVISYN3A_0672</t>
  </si>
  <si>
    <t>JCVISYN3A_0661</t>
  </si>
  <si>
    <t>JCVISYN3A_0505</t>
  </si>
  <si>
    <t>JCVISYN3A_0729</t>
  </si>
  <si>
    <t>JCVISYN3A_0002</t>
  </si>
  <si>
    <t>JCVISYN3A_0141</t>
  </si>
  <si>
    <t>JCVISYN3A_0642</t>
  </si>
  <si>
    <t>JCVISYN3A_0810</t>
  </si>
  <si>
    <t>JCVISYN3A_0007</t>
  </si>
  <si>
    <t>JCVISYN3A_0413</t>
  </si>
  <si>
    <t>JCVISYN3A_0216</t>
  </si>
  <si>
    <t>JCVISYN3A_0027</t>
  </si>
  <si>
    <t>JCVISYN3A_0530</t>
  </si>
  <si>
    <t>JCVISYN3A_0792</t>
  </si>
  <si>
    <t>JCVISYN3A_0061</t>
  </si>
  <si>
    <t>JCVISYN3A_0221</t>
  </si>
  <si>
    <t>JCVISYN3A_0686</t>
  </si>
  <si>
    <t>JCVISYN3A_0131</t>
  </si>
  <si>
    <t>JCVISYN3A_0407</t>
  </si>
  <si>
    <t>JCVISYN3A_0512</t>
  </si>
  <si>
    <t>JCVISYN3A_0289</t>
  </si>
  <si>
    <t>JCVISYN3A_0439</t>
  </si>
  <si>
    <t>JCVISYN3A_0198</t>
  </si>
  <si>
    <t>JCVISYN3A_0536</t>
  </si>
  <si>
    <t>JCVISYN3A_0813</t>
  </si>
  <si>
    <t>JCVISYN3A_0148</t>
  </si>
  <si>
    <t>JCVISYN3A_0747</t>
  </si>
  <si>
    <t>JCVISYN3A_0233</t>
  </si>
  <si>
    <t>JCVISYN3A_0771</t>
  </si>
  <si>
    <t>JCVISYN3A_0651</t>
  </si>
  <si>
    <t>JCVISYN3A_0042</t>
  </si>
  <si>
    <t>JCVISYN3A_0727</t>
  </si>
  <si>
    <t>JCVISYN3A_0420</t>
  </si>
  <si>
    <t>JCVISYN3A_0316</t>
  </si>
  <si>
    <t>JCVISYN3A_0646</t>
  </si>
  <si>
    <t>JCVISYN3A_0840</t>
  </si>
  <si>
    <t>JCVISYN3A_0169</t>
  </si>
  <si>
    <t>JCVISYN3A_0039</t>
  </si>
  <si>
    <t>JCVISYN3A_0366</t>
  </si>
  <si>
    <t>JCVISYN3A_0229</t>
  </si>
  <si>
    <t>JCVISYN3A_0437</t>
  </si>
  <si>
    <t>JCVISYN3A_0666</t>
  </si>
  <si>
    <t>JCVISYN3A_0429</t>
  </si>
  <si>
    <t>JCVISYN3A_0708</t>
  </si>
  <si>
    <t>JCVISYN3A_0145</t>
  </si>
  <si>
    <t>JCVISYN3A_0054</t>
  </si>
  <si>
    <t>JCVISYN3A_0643</t>
  </si>
  <si>
    <t>JCVISYN3A_0359</t>
  </si>
  <si>
    <t>JCVISYN3A_0197</t>
  </si>
  <si>
    <t>JCVISYN3A_0285</t>
  </si>
  <si>
    <t>JCVISYN3A_0257</t>
  </si>
  <si>
    <t>JCVISYN3A_0026</t>
  </si>
  <si>
    <t>JCVISYN3A_0388</t>
  </si>
  <si>
    <t>JCVISYN3A_0653</t>
  </si>
  <si>
    <t>JCVISYN3A_0787</t>
  </si>
  <si>
    <t>JCVISYN3A_0617</t>
  </si>
  <si>
    <t>JCVISYN3A_0410</t>
  </si>
  <si>
    <t>JCVISYN3A_0881</t>
  </si>
  <si>
    <t>JCVISYN3A_0548</t>
  </si>
  <si>
    <t>JCVISYN3A_0030</t>
  </si>
  <si>
    <t>JCVISYN3A_0833</t>
  </si>
  <si>
    <t>JCVISYN3A_0799</t>
  </si>
  <si>
    <t>JCVISYN3A_0694</t>
  </si>
  <si>
    <t>JCVISYN3A_0600</t>
  </si>
  <si>
    <t>JCVISYN3A_0360</t>
  </si>
  <si>
    <t>JCVISYN3A_0412</t>
  </si>
  <si>
    <t>JCVISYN3A_0644</t>
  </si>
  <si>
    <t>JCVISYN3A_0200</t>
  </si>
  <si>
    <t>JCVISYN3A_0493</t>
  </si>
  <si>
    <t>JCVISYN3A_0501</t>
  </si>
  <si>
    <t>JCVISYN3A_0262</t>
  </si>
  <si>
    <t>JCVISYN3A_0064</t>
  </si>
  <si>
    <t>JCVISYN3A_0834</t>
  </si>
  <si>
    <t>JCVISYN3A_0391</t>
  </si>
  <si>
    <t>JCVISYN3A_0697</t>
  </si>
  <si>
    <t>JCVISYN3A_0728</t>
  </si>
  <si>
    <t>JCVISYN3A_0195</t>
  </si>
  <si>
    <t>JCVISYN3A_0445</t>
  </si>
  <si>
    <t>JCVISYN3A_0006</t>
  </si>
  <si>
    <t>JCVISYN3A_0687</t>
  </si>
  <si>
    <t>JCVISYN3A_0300</t>
  </si>
  <si>
    <t>JCVISYN3A_0824</t>
  </si>
  <si>
    <t>JCVISYN3A_0222</t>
  </si>
  <si>
    <t>JCVISYN3A_0012</t>
  </si>
  <si>
    <t>JCVISYN3A_0688</t>
  </si>
  <si>
    <t>JCVISYN3A_0250</t>
  </si>
  <si>
    <t>JCVISYN3A_0168</t>
  </si>
  <si>
    <t>JCVISYN3A_0615</t>
  </si>
  <si>
    <t>JCVISYN3A_0818</t>
  </si>
  <si>
    <t>JCVISYN3A_0658</t>
  </si>
  <si>
    <t>JCVISYN3A_0521</t>
  </si>
  <si>
    <t>JCVISYN3A_0821</t>
  </si>
  <si>
    <t>JCVISYN3A_0641</t>
  </si>
  <si>
    <t>JCVISYN3A_0392</t>
  </si>
  <si>
    <t>JCVISYN3A_0906</t>
  </si>
  <si>
    <t>JCVISYN3A_0517</t>
  </si>
  <si>
    <t>JCVISYN3A_0444</t>
  </si>
  <si>
    <t>JCVISYN3A_0601</t>
  </si>
  <si>
    <t>JCVISYN3A_0282</t>
  </si>
  <si>
    <t>JCVISYN3A_0614</t>
  </si>
  <si>
    <t>JCVISYN3A_0827</t>
  </si>
  <si>
    <t>JCVISYN3A_0662</t>
  </si>
  <si>
    <t>JCVISYN3A_0353</t>
  </si>
  <si>
    <t>JCVISYN3A_0025</t>
  </si>
  <si>
    <t>JCVISYN3A_0538</t>
  </si>
  <si>
    <t>JCVISYN3A_0527</t>
  </si>
  <si>
    <t>JCVISYN3A_0138</t>
  </si>
  <si>
    <t>JCVISYN3A_0348</t>
  </si>
  <si>
    <t>JCVISYN3A_0081</t>
  </si>
  <si>
    <t>JCVISYN3A_0414</t>
  </si>
  <si>
    <t>JCVISYN3A_0859</t>
  </si>
  <si>
    <t>JCVISYN3A_0422</t>
  </si>
  <si>
    <t>JCVISYN3A_0132</t>
  </si>
  <si>
    <t>JCVISYN3A_0240</t>
  </si>
  <si>
    <t>JCVISYN3A_0537</t>
  </si>
  <si>
    <t>JCVISYN3A_0814</t>
  </si>
  <si>
    <t>JCVISYN3A_0913</t>
  </si>
  <si>
    <t>JCVISYN3A_0167</t>
  </si>
  <si>
    <t>JCVISYN3A_0790</t>
  </si>
  <si>
    <t>JCVISYN3A_0733</t>
  </si>
  <si>
    <t>JCVISYN3A_0371</t>
  </si>
  <si>
    <t>JCVISYN3A_0794</t>
  </si>
  <si>
    <t>JCVISYN3A_0314</t>
  </si>
  <si>
    <t>JCVISYN3A_0139</t>
  </si>
  <si>
    <t>JCVISYN3A_0726</t>
  </si>
  <si>
    <t>JCVISYN3A_0499</t>
  </si>
  <si>
    <t>JCVISYN3A_0377</t>
  </si>
  <si>
    <t>JCVISYN3A_0045</t>
  </si>
  <si>
    <t>JCVISYN3A_0126</t>
  </si>
  <si>
    <t>JCVISYN3A_0541</t>
  </si>
  <si>
    <t>JCVISYN3A_0372</t>
  </si>
  <si>
    <t>JCVISYN3A_0777</t>
  </si>
  <si>
    <t>JCVISYN3A_0260</t>
  </si>
  <si>
    <t>JCVISYN3A_0259</t>
  </si>
  <si>
    <t>JCVISYN3A_0438</t>
  </si>
  <si>
    <t>JCVISYN3A_0544</t>
  </si>
  <si>
    <t>JCVISYN3A_0819</t>
  </si>
  <si>
    <t>JCVISYN3A_0234</t>
  </si>
  <si>
    <t>JCVISYN3A_0317</t>
  </si>
  <si>
    <t>JCVISYN3A_0288</t>
  </si>
  <si>
    <t>JCVISYN3A_0415</t>
  </si>
  <si>
    <t>JCVISYN3A_0001</t>
  </si>
  <si>
    <t>JCVISYN3A_0875</t>
  </si>
  <si>
    <t>JCVISYN3A_0650</t>
  </si>
  <si>
    <t>JCVISYN3A_0832</t>
  </si>
  <si>
    <t>JCVISYN3A_0732</t>
  </si>
  <si>
    <t>JCVISYN3A_0878</t>
  </si>
  <si>
    <t>JCVISYN3A_0695</t>
  </si>
  <si>
    <t>JCVISYN3A_0418</t>
  </si>
  <si>
    <t>JCVISYN3A_0872</t>
  </si>
  <si>
    <t>JCVISYN3A_0535</t>
  </si>
  <si>
    <t>JCVISYN3A_0128</t>
  </si>
  <si>
    <t>JCVISYN3A_0405</t>
  </si>
  <si>
    <t>JCVISYN3A_0636</t>
  </si>
  <si>
    <t>JCVISYN3A_0835</t>
  </si>
  <si>
    <t>JCVISYN3A_0345</t>
  </si>
  <si>
    <t>JCVISYN3A_0431</t>
  </si>
  <si>
    <t>JCVISYN3A_0427</t>
  </si>
  <si>
    <t>JCVISYN3A_0519</t>
  </si>
  <si>
    <t>JCVISYN3A_0452</t>
  </si>
  <si>
    <t>JCVISYN3A_0011</t>
  </si>
  <si>
    <t>JCVISYN3A_0515</t>
  </si>
  <si>
    <t>JCVISYN3A_0419</t>
  </si>
  <si>
    <t>JCVISYN3A_0876</t>
  </si>
  <si>
    <t>JCVISYN3A_0301</t>
  </si>
  <si>
    <t>JCVISYN3A_0613</t>
  </si>
  <si>
    <t>JCVISYN3A_0270</t>
  </si>
  <si>
    <t>JCVISYN3A_0330</t>
  </si>
  <si>
    <t>JCVISYN3A_0428</t>
  </si>
  <si>
    <t>JCVISYN3A_0287</t>
  </si>
  <si>
    <t>JCVISYN3A_0610</t>
  </si>
  <si>
    <t>JCVISYN3A_0885</t>
  </si>
  <si>
    <t>JCVISYN3A_0328</t>
  </si>
  <si>
    <t>JCVISYN3A_0065</t>
  </si>
  <si>
    <t>JCVISYN3A_0775</t>
  </si>
  <si>
    <t>JCVISYN3A_0201</t>
  </si>
  <si>
    <t>JCVISYN3A_0448</t>
  </si>
  <si>
    <t>JCVISYN3A_0479</t>
  </si>
  <si>
    <t>JCVISYN3A_0133</t>
  </si>
  <si>
    <t>JCVISYN3A_0778</t>
  </si>
  <si>
    <t>JCVISYN3A_0203</t>
  </si>
  <si>
    <t>JCVISYN3A_0003</t>
  </si>
  <si>
    <t>JCVISYN3A_0299</t>
  </si>
  <si>
    <t>JCVISYN3A_0247</t>
  </si>
  <si>
    <t>JCVISYN3A_0652</t>
  </si>
  <si>
    <t>JCVISYN3A_0793</t>
  </si>
  <si>
    <t>JCVISYN3A_0406</t>
  </si>
  <si>
    <t>JCVISYN3A_0010</t>
  </si>
  <si>
    <t>JCVISYN3A_0634</t>
  </si>
  <si>
    <t>JCVISYN3A_0879</t>
  </si>
  <si>
    <t>JCVISYN3A_0523</t>
  </si>
  <si>
    <t>JCVISYN3A_0453</t>
  </si>
  <si>
    <t>JCVISYN3A_0403</t>
  </si>
  <si>
    <t>JCVISYN3A_0772</t>
  </si>
  <si>
    <t>JCVISYN3A_0283</t>
  </si>
  <si>
    <t>JCVISYN3A_0033</t>
  </si>
  <si>
    <t>JCVISYN3A_0409</t>
  </si>
  <si>
    <t>JCVISYN3A_0361</t>
  </si>
  <si>
    <t>JCVISYN3A_0908</t>
  </si>
  <si>
    <t>JCVISYN3A_0140</t>
  </si>
  <si>
    <t>JCVISYN3A_0005</t>
  </si>
  <si>
    <t>JCVISYN3A_0710</t>
  </si>
  <si>
    <t>JCVISYN3A_0196</t>
  </si>
  <si>
    <t>JCVISYN3A_0511</t>
  </si>
  <si>
    <t>JCVISYN3A_0826</t>
  </si>
  <si>
    <t>JCVISYN3A_0047</t>
  </si>
  <si>
    <t>JCVISYN3A_0389</t>
  </si>
  <si>
    <t>JCVISYN3A_0549</t>
  </si>
  <si>
    <t>JCVISYN3A_0077</t>
  </si>
  <si>
    <t>JCVISYN3A_0432</t>
  </si>
  <si>
    <t>JCVISYN3A_0800</t>
  </si>
  <si>
    <t>JCVISYN3A_0398</t>
  </si>
  <si>
    <t>JCVISYN3A_0611</t>
  </si>
  <si>
    <t>JCVISYN3A_0008</t>
  </si>
  <si>
    <t>JCVISYN3A_0649</t>
  </si>
  <si>
    <t>JCVISYN3A_0500</t>
  </si>
  <si>
    <t>JCVISYN3A_0640</t>
  </si>
  <si>
    <t>JCVISYN3A_0303</t>
  </si>
  <si>
    <t>JCVISYN3A_0271</t>
  </si>
  <si>
    <t>JCVISYN3A_0329</t>
  </si>
  <si>
    <t>JCVISYN3A_0043</t>
  </si>
  <si>
    <t>JCVISYN3A_0620</t>
  </si>
  <si>
    <t>JCVISYN3A_0373</t>
  </si>
  <si>
    <t>JCVISYN3A_0202</t>
  </si>
  <si>
    <t>JCVISYN3A_0639</t>
  </si>
  <si>
    <t>JCVISYN3A_0378</t>
  </si>
  <si>
    <t>JCVISYN3A_0164</t>
  </si>
  <si>
    <t>JCVISYN3A_0127</t>
  </si>
  <si>
    <t>JCVISYN3A_0886</t>
  </si>
  <si>
    <t>JCVISYN3A_0791</t>
  </si>
  <si>
    <t>JCVISYN3A_0108</t>
  </si>
  <si>
    <t>JCVISYN3A_0034</t>
  </si>
  <si>
    <t>JCVISYN3A_0664</t>
  </si>
  <si>
    <t>JCVISYN3A_0165</t>
  </si>
  <si>
    <t>JCVISYN3A_0421</t>
  </si>
  <si>
    <t>JCVISYN3A_0707</t>
  </si>
  <si>
    <t>JCVISYN3A_0837</t>
  </si>
  <si>
    <t>JCVISYN3A_0004</t>
  </si>
  <si>
    <t>JCVISYN3A_0887</t>
  </si>
  <si>
    <t>JCVISYN3A_0776</t>
  </si>
  <si>
    <t>JCVISYN3A_0166</t>
  </si>
  <si>
    <t>JCVISYN3A_0516</t>
  </si>
  <si>
    <t>JCVISYN3A_0254</t>
  </si>
  <si>
    <t>JCVISYN3A_0249</t>
  </si>
  <si>
    <t>JCVISYN3A_0390</t>
  </si>
  <si>
    <t>JCVISYN3A_0009</t>
  </si>
  <si>
    <t>JCVISYN3A_0079</t>
  </si>
  <si>
    <t>JCVISYN3A_0116</t>
  </si>
  <si>
    <t>JCVISYN3A_0308</t>
  </si>
  <si>
    <t>JCVISYN3A_0137</t>
  </si>
  <si>
    <t>JCVISYN3A_0805</t>
  </si>
  <si>
    <t>JCVISYN3A_0387</t>
  </si>
  <si>
    <t>JCVISYN3A_0504</t>
  </si>
  <si>
    <t>JCVISYN3A_0789</t>
  </si>
  <si>
    <t>JCVISYN3A_0907</t>
  </si>
  <si>
    <t>JCVISYN3A_0482</t>
  </si>
  <si>
    <t>JCVISYN3A_0874</t>
  </si>
  <si>
    <t>JCVISYN3A_0690</t>
  </si>
  <si>
    <t>JCVISYN3A_0097</t>
  </si>
  <si>
    <t>JCVISYN3A_0838</t>
  </si>
  <si>
    <t>JCVISYN3A_0411</t>
  </si>
  <si>
    <t>JCVISYN3A_0281</t>
  </si>
  <si>
    <t>JCVISYN3A_0326</t>
  </si>
  <si>
    <t>JCVISYN3A_0346</t>
  </si>
  <si>
    <t>JCVISYN3A_0347</t>
  </si>
  <si>
    <t>JCVISYN3A_0648</t>
  </si>
  <si>
    <t>JCVISYN3A_0235</t>
  </si>
  <si>
    <t>JCVISYN3A_0399</t>
  </si>
  <si>
    <t>JCVISYN3A_0044</t>
  </si>
  <si>
    <t>JCVISYN3A_0430</t>
  </si>
  <si>
    <t>JCVISYN3A_0592</t>
  </si>
  <si>
    <t>JCVISYN3A_0685</t>
  </si>
  <si>
    <t>JCVISYN3A_0147</t>
  </si>
  <si>
    <t>JCVISYN3A_0107</t>
  </si>
  <si>
    <t>JCVISYN3A_0684</t>
  </si>
  <si>
    <t>JCVISYN3A_0817</t>
  </si>
  <si>
    <t>JCVISYN3A_0825</t>
  </si>
  <si>
    <t>JCVISYN3A_0382</t>
  </si>
  <si>
    <t>JCVISYN3A_0332</t>
  </si>
  <si>
    <t>JCVISYN3A_0822</t>
  </si>
  <si>
    <t>JCVISYN3A_0426</t>
  </si>
  <si>
    <t>JCVISYN3A_0215</t>
  </si>
  <si>
    <t>JCVISYN3A_0434</t>
  </si>
  <si>
    <t>JCVISYN3A_0433</t>
  </si>
  <si>
    <t>JCVISYN3A_0494</t>
  </si>
  <si>
    <t>JCVISYN3A_0239</t>
  </si>
  <si>
    <t>JCVISYN3A_0608</t>
  </si>
  <si>
    <t>JCVISYN3A_0060</t>
  </si>
  <si>
    <t>JCVISYN3A_0063</t>
  </si>
  <si>
    <t>JCVISYN3A_0441</t>
  </si>
  <si>
    <t>JCVISYN3A_0693</t>
  </si>
  <si>
    <t>JCVISYN3A_0362</t>
  </si>
  <si>
    <t>JCVISYN3A_0046</t>
  </si>
  <si>
    <t>JCVISYN3A_0304</t>
  </si>
  <si>
    <t>JCVISYN3A_0082</t>
  </si>
  <si>
    <t>JCVISYN3A_0380</t>
  </si>
  <si>
    <t>JCVISYN3A_0291</t>
  </si>
  <si>
    <t>JCVISYN3A_0114</t>
  </si>
  <si>
    <t>JCVISYN3A_0612</t>
  </si>
  <si>
    <t>JCVISYN3A_0109</t>
  </si>
  <si>
    <t>JCVISYN3A_0040</t>
  </si>
  <si>
    <t>JCVISYN3A_0144</t>
  </si>
  <si>
    <t>JCVISYN3A_0447</t>
  </si>
  <si>
    <t>JCVISYN3A_0375</t>
  </si>
  <si>
    <t>JCVISYN3A_0350</t>
  </si>
  <si>
    <t>JCVISYN3A_0296</t>
  </si>
  <si>
    <t>JCVISYN3A_0142</t>
  </si>
  <si>
    <t>JCVISYN3A_0113</t>
  </si>
  <si>
    <t>JCVISYN3A_0363</t>
  </si>
  <si>
    <t>JCVISYN3A_0402</t>
  </si>
  <si>
    <t>JCVISYN3A_0425</t>
  </si>
  <si>
    <t>JCVISYN3A_0520</t>
  </si>
  <si>
    <t>JCVISYN3A_0302</t>
  </si>
  <si>
    <t>JCVISYN3A_0478</t>
  </si>
  <si>
    <t>JCVISYN3A_0294</t>
  </si>
  <si>
    <t>JCVISYN3A_0932</t>
  </si>
  <si>
    <t>JCVISYN3A_0105</t>
  </si>
  <si>
    <t>JCVISYN3A_0692</t>
  </si>
  <si>
    <t>JCVISYN3A_0442</t>
  </si>
  <si>
    <t>JCVISYN3A_0080</t>
  </si>
  <si>
    <t>JCVISYN3A_0870</t>
  </si>
  <si>
    <t>JCVISYN3A_0117</t>
  </si>
  <si>
    <t>JCVISYN3A_0327</t>
  </si>
  <si>
    <t>JCVISYN3A_0435</t>
  </si>
  <si>
    <t>JCVISYN3A_0263</t>
  </si>
  <si>
    <t>JCVISYN3A_0524</t>
  </si>
  <si>
    <t>JCVISYN3A_0325</t>
  </si>
  <si>
    <t>JCVISYN3A_0248</t>
  </si>
  <si>
    <t>JCVISYN3A_0823</t>
  </si>
  <si>
    <t>JCVISYN3A_0400</t>
  </si>
  <si>
    <t>JCVISYN3A_0315</t>
  </si>
  <si>
    <t>JCVISYN3A_0853</t>
  </si>
  <si>
    <t>JCVISYN3A_0820</t>
  </si>
  <si>
    <t>JCVISYN3A_0146</t>
  </si>
  <si>
    <t>JCVISYN3A_0605</t>
  </si>
  <si>
    <t>JCVISYN3A_0408</t>
  </si>
  <si>
    <t>JCVISYN3A_0691</t>
  </si>
  <si>
    <t>JCVISYN3A_0525</t>
  </si>
  <si>
    <t>JCVISYN3A_0143</t>
  </si>
  <si>
    <t>JCVISYN3A_0443</t>
  </si>
  <si>
    <t>JCVISYN3A_0298</t>
  </si>
  <si>
    <t>JCVISYN3A_0106</t>
  </si>
  <si>
    <t>JCVISYN3A_0621</t>
  </si>
  <si>
    <t>JCVISYN3A_0404</t>
  </si>
  <si>
    <t>JCVISYN3A_0214</t>
  </si>
  <si>
    <t>JCVISYN3A_0286</t>
  </si>
  <si>
    <t>JCVISYN3A_0839</t>
  </si>
  <si>
    <t>JCVISYN3A_0689</t>
  </si>
  <si>
    <t>JCVISYN3A_0495</t>
  </si>
  <si>
    <t>JCVISYN3A_0352</t>
  </si>
  <si>
    <t>JCVISYN3A_0424</t>
  </si>
  <si>
    <t>JCVISYN3A_0364</t>
  </si>
  <si>
    <t>JCVISYN3A_0836</t>
  </si>
  <si>
    <t>JCVISYN3A_0526</t>
  </si>
  <si>
    <t>JCVISYN3A_0609</t>
  </si>
  <si>
    <t>JCVISYN3A_0381</t>
  </si>
  <si>
    <t>JCVISYN3A_0599</t>
  </si>
  <si>
    <t>JCVISYN3A_0376</t>
  </si>
  <si>
    <t>JCVISYN3A_0796</t>
  </si>
  <si>
    <t>JCVISYN3A_0774</t>
  </si>
  <si>
    <t>JCVISYN3A_0877</t>
  </si>
  <si>
    <t>JCVISYN3A_0909</t>
  </si>
  <si>
    <t>JCVISYN3A_0696</t>
  </si>
  <si>
    <t>JCVISYN3A_0730</t>
  </si>
  <si>
    <t>JCVISYN3A_0706</t>
  </si>
  <si>
    <t>JCVISYN3A_0290</t>
  </si>
  <si>
    <t>JCVISYN3A_0513</t>
  </si>
  <si>
    <t>JCVISYN3A_0416</t>
  </si>
  <si>
    <t>JCVISYN3A_0852</t>
  </si>
  <si>
    <t>JCVISYN3A_0401</t>
  </si>
  <si>
    <t>JCVISYN3A_0094</t>
  </si>
  <si>
    <t>JCVISYN3A_0910</t>
  </si>
  <si>
    <t>JCVISYN3A_0930</t>
  </si>
  <si>
    <t>JCVISYN3A_0873</t>
  </si>
  <si>
    <t>JCVISYN3A_0264</t>
  </si>
  <si>
    <t>JCVISYN3A_0518</t>
  </si>
  <si>
    <t>JCVISYN3A_0379</t>
  </si>
  <si>
    <t>JCVISYN3A_0931</t>
  </si>
  <si>
    <t>JCVISYN3A_0830</t>
  </si>
  <si>
    <t>JCVISYN3A_0481</t>
  </si>
  <si>
    <t>JCVISYN3A_0602</t>
  </si>
  <si>
    <t>JCVISYN3A_0546</t>
  </si>
  <si>
    <t>JCVISYN3A_0051</t>
  </si>
  <si>
    <t>L-lactate dehydrogenase</t>
  </si>
  <si>
    <t>AVX54812.1</t>
  </si>
  <si>
    <t>Translation elongation factor Tu</t>
  </si>
  <si>
    <t>AVX54645.1</t>
  </si>
  <si>
    <t>30S ribosomal protein S3</t>
  </si>
  <si>
    <t>AVX54914.1</t>
  </si>
  <si>
    <t>Type I glyceraldehyde-3-phosphate dehydrogenase</t>
  </si>
  <si>
    <t>AVX54869.1</t>
  </si>
  <si>
    <t>Molecular chaperone</t>
  </si>
  <si>
    <t>AVX54854.1</t>
  </si>
  <si>
    <t>30S ribosomal protein S13</t>
  </si>
  <si>
    <t>AVX54896.1</t>
  </si>
  <si>
    <t>30S ribosomal protein S19</t>
  </si>
  <si>
    <t>AVX54916.1</t>
  </si>
  <si>
    <t>30S ribosomal protein S5</t>
  </si>
  <si>
    <t>AVX54903.1</t>
  </si>
  <si>
    <t>50S ribosomal protein L5</t>
  </si>
  <si>
    <t>AVX54908.1</t>
  </si>
  <si>
    <t>50S ribosomal protein L2</t>
  </si>
  <si>
    <t>AVX54917.1</t>
  </si>
  <si>
    <t>Translation elongation factor G</t>
  </si>
  <si>
    <t>AVX54644.1</t>
  </si>
  <si>
    <t>30S ribosomal protein S4</t>
  </si>
  <si>
    <t>AVX54677.1</t>
  </si>
  <si>
    <t>50S ribosomal protein L7/L12</t>
  </si>
  <si>
    <t>AVX54973.1</t>
  </si>
  <si>
    <t>PTS sugar transporter</t>
  </si>
  <si>
    <t>AVX54956.1</t>
  </si>
  <si>
    <t>Cell division protein</t>
  </si>
  <si>
    <t>AVX54838.1</t>
  </si>
  <si>
    <t>Uncharacterized peptidase</t>
  </si>
  <si>
    <t>AVX54817.1</t>
  </si>
  <si>
    <t>DNA-directed RNA polymerase subunit alpha</t>
  </si>
  <si>
    <t>AVX54894.1</t>
  </si>
  <si>
    <t>Fatty acid binding protein</t>
  </si>
  <si>
    <t>AVX54878.1</t>
  </si>
  <si>
    <t>50S ribosomal protein L19</t>
  </si>
  <si>
    <t>AVX54742.1</t>
  </si>
  <si>
    <t>50S ribosomal protein L6</t>
  </si>
  <si>
    <t>AVX54905.1</t>
  </si>
  <si>
    <t>50S ribosomal protein L13</t>
  </si>
  <si>
    <t>AVX54887.1</t>
  </si>
  <si>
    <t>30S ribosomal protein S2</t>
  </si>
  <si>
    <t>AVX54852.1</t>
  </si>
  <si>
    <t>Uncharacterized metallopeptidase</t>
  </si>
  <si>
    <t>AVX54714.1</t>
  </si>
  <si>
    <t>Translation elongation factor Ts</t>
  </si>
  <si>
    <t>AVX54851.1</t>
  </si>
  <si>
    <t>Transcription elongation factor</t>
  </si>
  <si>
    <t>AVX54684.1</t>
  </si>
  <si>
    <t>50S ribosomal protein L4</t>
  </si>
  <si>
    <t>AVX54919.1</t>
  </si>
  <si>
    <t>Branched-chain alpha-keto acid dehydrogenase subunit E2</t>
  </si>
  <si>
    <t>AVX54670.1</t>
  </si>
  <si>
    <t>50S ribosomal protein L23</t>
  </si>
  <si>
    <t>AVX54918.1</t>
  </si>
  <si>
    <t>50S ribosomal protein L24</t>
  </si>
  <si>
    <t>AVX54909.1</t>
  </si>
  <si>
    <t>Endopeptidase La</t>
  </si>
  <si>
    <t>AVX54761.1</t>
  </si>
  <si>
    <t>50S ribosomal protein L1</t>
  </si>
  <si>
    <t>AVX54975.1</t>
  </si>
  <si>
    <t>Phosphoglycerate kinase</t>
  </si>
  <si>
    <t>AVX54868.1</t>
  </si>
  <si>
    <t>Phenylalanine--tRNA ligase subunit beta</t>
  </si>
  <si>
    <t>AVX54844.1</t>
  </si>
  <si>
    <t>Dihydrolipoyl dehydrogenase</t>
  </si>
  <si>
    <t>AVX54671.1</t>
  </si>
  <si>
    <t>CTP synthase</t>
  </si>
  <si>
    <t>AVX54627.1</t>
  </si>
  <si>
    <t>Phosphopyruvate hydratase</t>
  </si>
  <si>
    <t>AVX54662.1</t>
  </si>
  <si>
    <t>30S ribosomal protein S7</t>
  </si>
  <si>
    <t>AVX54643.1</t>
  </si>
  <si>
    <t>DNA-directed RNA polymerase subunit beta</t>
  </si>
  <si>
    <t>AVX54971.1</t>
  </si>
  <si>
    <t>Translation initiation factor IF-2</t>
  </si>
  <si>
    <t>AVX54706.1</t>
  </si>
  <si>
    <t>Low specificity hydrolase</t>
  </si>
  <si>
    <t>AVX54604.1</t>
  </si>
  <si>
    <t>Uncharacterized lipoprotein</t>
  </si>
  <si>
    <t>AVX54727.1</t>
  </si>
  <si>
    <t>50S ribosomal protein L3</t>
  </si>
  <si>
    <t>AVX54920.1</t>
  </si>
  <si>
    <t>Uracil phosphoribosyltransferase</t>
  </si>
  <si>
    <t>AVX54967.1</t>
  </si>
  <si>
    <t>ATP-dependent Clp protease subunit B</t>
  </si>
  <si>
    <t>AVX54857.1</t>
  </si>
  <si>
    <t>Alanine--tRNA ligase</t>
  </si>
  <si>
    <t>AVX54646.1</t>
  </si>
  <si>
    <t>Ribonucleoside-diphosphate reductase subunit beta</t>
  </si>
  <si>
    <t>AVX54950.1</t>
  </si>
  <si>
    <t>AVX54801.1</t>
  </si>
  <si>
    <t>Inorganic diphosphatase</t>
  </si>
  <si>
    <t>AVX54728.1</t>
  </si>
  <si>
    <t>Phenylalanine--tRNA ligase subunit alpha</t>
  </si>
  <si>
    <t>AVX54845.1</t>
  </si>
  <si>
    <t>Uncharacterized FMN-dependent NADH-azoreductase</t>
  </si>
  <si>
    <t>AVX54586.1</t>
  </si>
  <si>
    <t>50S ribosomal protein L29</t>
  </si>
  <si>
    <t>AVX54912.1</t>
  </si>
  <si>
    <t>Phosphoribosylpyrophosphate synthetase</t>
  </si>
  <si>
    <t>AVX54991.1</t>
  </si>
  <si>
    <t>Asparagine--tRNA ligase</t>
  </si>
  <si>
    <t>AVX54605.1</t>
  </si>
  <si>
    <t>Glyceraldehyde-3-phosphate dehydrogenase</t>
  </si>
  <si>
    <t>AVX54809.1</t>
  </si>
  <si>
    <t>Acetate kinase</t>
  </si>
  <si>
    <t>AVX54673.1</t>
  </si>
  <si>
    <t>Glycerol kinase</t>
  </si>
  <si>
    <t>AVX54666.1</t>
  </si>
  <si>
    <t>DNA-directed RNA polymerase subunit beta'</t>
  </si>
  <si>
    <t>AVX54970.1</t>
  </si>
  <si>
    <t>Nucleotide exchange factor</t>
  </si>
  <si>
    <t>AVX54855.1</t>
  </si>
  <si>
    <t>30S ribosomal protein S9</t>
  </si>
  <si>
    <t>AVX54886.1</t>
  </si>
  <si>
    <t>Preprotein translocase subunit A</t>
  </si>
  <si>
    <t>AVX54612.1</t>
  </si>
  <si>
    <t>50S ribosomal protein L10</t>
  </si>
  <si>
    <t>AVX54974.1</t>
  </si>
  <si>
    <t>Uncharacterized protein</t>
  </si>
  <si>
    <t>AVX54866.1</t>
  </si>
  <si>
    <t>6-Phosphofructokinase</t>
  </si>
  <si>
    <t>AVX54667.1</t>
  </si>
  <si>
    <t>30S ribosomal protein S8</t>
  </si>
  <si>
    <t>AVX54906.1</t>
  </si>
  <si>
    <t>UTP--glucose-1-phosphate uridylyltransferase</t>
  </si>
  <si>
    <t>AVX54621.1</t>
  </si>
  <si>
    <t>50S ribosomal protein L18</t>
  </si>
  <si>
    <t>AVX54904.1</t>
  </si>
  <si>
    <t>30S ribosomal protein S10</t>
  </si>
  <si>
    <t>AVX54921.1</t>
  </si>
  <si>
    <t>50S ribosomal protein L14</t>
  </si>
  <si>
    <t>AVX54910.1</t>
  </si>
  <si>
    <t>AVX54827.1</t>
  </si>
  <si>
    <t>Phosphoglycerate mutase (2,3-diphosphoglycerate-independent)</t>
  </si>
  <si>
    <t>AVX54943.1</t>
  </si>
  <si>
    <t>DNA polymerase III subunit beta</t>
  </si>
  <si>
    <t>AVX54570.1</t>
  </si>
  <si>
    <t>Peptide chain release factor 1</t>
  </si>
  <si>
    <t>AVX54635.1</t>
  </si>
  <si>
    <t>ECF transporter ATPase</t>
  </si>
  <si>
    <t>AVX54891.1</t>
  </si>
  <si>
    <t>50S ribosomal protein L11</t>
  </si>
  <si>
    <t>AVX54976.1</t>
  </si>
  <si>
    <t>DNA gyrase subunit A</t>
  </si>
  <si>
    <t>AVX54575.1</t>
  </si>
  <si>
    <t>Adenine phosphoribosyltransferase</t>
  </si>
  <si>
    <t>AVX54777.1</t>
  </si>
  <si>
    <t>Hypoxanthine phosphoribosyltransferase</t>
  </si>
  <si>
    <t>AVX54665.1</t>
  </si>
  <si>
    <t>30S ribosomal protein S6</t>
  </si>
  <si>
    <t>AVX54585.1</t>
  </si>
  <si>
    <t>AVX54846.1</t>
  </si>
  <si>
    <t>F0F1 ATP synthase subunit alpha</t>
  </si>
  <si>
    <t>AVX54961.1</t>
  </si>
  <si>
    <t>Serine--tRNA ligase</t>
  </si>
  <si>
    <t>AVX54600.1</t>
  </si>
  <si>
    <t>Pyruvate kinase</t>
  </si>
  <si>
    <t>AVX54668.1</t>
  </si>
  <si>
    <t>Potassium transporter</t>
  </si>
  <si>
    <t>AVX54924.1</t>
  </si>
  <si>
    <t>Fructose-1,6-bisphosphate aldolase</t>
  </si>
  <si>
    <t>AVX54628.1</t>
  </si>
  <si>
    <t>RNA polymerase subunit sigma</t>
  </si>
  <si>
    <t>AVX54771.1</t>
  </si>
  <si>
    <t>Acyl-phosphate glycerol 3-phosphate acyltransferase</t>
  </si>
  <si>
    <t>AVX54829.1</t>
  </si>
  <si>
    <t>Ribosome-binding factor A</t>
  </si>
  <si>
    <t>AVX54701.1</t>
  </si>
  <si>
    <t>AVX54800.1</t>
  </si>
  <si>
    <t>50S ribosomal protein L20</t>
  </si>
  <si>
    <t>AVX54656.1</t>
  </si>
  <si>
    <t>Ribosome recycling factor</t>
  </si>
  <si>
    <t>AVX54848.1</t>
  </si>
  <si>
    <t>UDP-glucose 4-epimerase GalE</t>
  </si>
  <si>
    <t>AVX54977.1</t>
  </si>
  <si>
    <t>30S ribosomal protein S12</t>
  </si>
  <si>
    <t>AVX54642.1</t>
  </si>
  <si>
    <t>Purine-nucleoside phosphorylase</t>
  </si>
  <si>
    <t>AVX54947.1</t>
  </si>
  <si>
    <t>Phosphoenolpyruvate--protein phosphotransferase</t>
  </si>
  <si>
    <t>AVX54674.1</t>
  </si>
  <si>
    <t>Ribonucleotide-diphosphate reductase subunit alpha</t>
  </si>
  <si>
    <t>AVX54948.1</t>
  </si>
  <si>
    <t>Adenylate kinase</t>
  </si>
  <si>
    <t>AVX54900.1</t>
  </si>
  <si>
    <t>Uncharacterized transcriptional regulator</t>
  </si>
  <si>
    <t>AVX54592.1</t>
  </si>
  <si>
    <t>Triose-phosphate isomerase</t>
  </si>
  <si>
    <t>AVX54941.1</t>
  </si>
  <si>
    <t>Fatty acid kinase subunit A</t>
  </si>
  <si>
    <t>AVX54783.1</t>
  </si>
  <si>
    <t>Transketolase</t>
  </si>
  <si>
    <t>AVX54718.1</t>
  </si>
  <si>
    <t>30S ribosomal protein S11</t>
  </si>
  <si>
    <t>AVX54895.1</t>
  </si>
  <si>
    <t>Antitermination protein</t>
  </si>
  <si>
    <t>AVX55001.1</t>
  </si>
  <si>
    <t>Oligopeptide ABC transporter substrate-binding protein</t>
  </si>
  <si>
    <t>AVX54652.1</t>
  </si>
  <si>
    <t>Membrane anchored AAA+ protease</t>
  </si>
  <si>
    <t>AVX54590.1</t>
  </si>
  <si>
    <t>L16-binding dependent 50S subunit-maturation GTPase</t>
  </si>
  <si>
    <t>AVX54743.1</t>
  </si>
  <si>
    <t>Phosphate acetyltransferase</t>
  </si>
  <si>
    <t>AVX54672.1</t>
  </si>
  <si>
    <t>Putative 3'-5' exoribonuclease</t>
  </si>
  <si>
    <t>AVX54798.1</t>
  </si>
  <si>
    <t>50S ribosomal protein L22</t>
  </si>
  <si>
    <t>AVX54915.1</t>
  </si>
  <si>
    <t>Signal recognition particle-docking protein</t>
  </si>
  <si>
    <t>AVX54791.1</t>
  </si>
  <si>
    <t>Thiamine ABC transporter substrate-binding protein</t>
  </si>
  <si>
    <t>AVX54938.1</t>
  </si>
  <si>
    <t>Uncharacterized acetyltransferase</t>
  </si>
  <si>
    <t>AVX54639.1</t>
  </si>
  <si>
    <t>Uncharacterized peroxiredoxin</t>
  </si>
  <si>
    <t>AVX54598.1</t>
  </si>
  <si>
    <t>AVX54892.1</t>
  </si>
  <si>
    <t>Ribonuclease Y</t>
  </si>
  <si>
    <t>AVX54736.1</t>
  </si>
  <si>
    <t>Spermidine/putrescine ABC transporter ATP-binding protein</t>
  </si>
  <si>
    <t>AVX54655.1</t>
  </si>
  <si>
    <t>Elongation factor 4</t>
  </si>
  <si>
    <t>AVX54697.1</t>
  </si>
  <si>
    <t>RNase J family beta-CASP ribonuclease</t>
  </si>
  <si>
    <t>AVX54686.1</t>
  </si>
  <si>
    <t>Single-stranded DNA-binding protein</t>
  </si>
  <si>
    <t>AVX54584.1</t>
  </si>
  <si>
    <t>AVX54756.1</t>
  </si>
  <si>
    <t>50S ribosomal protein L15</t>
  </si>
  <si>
    <t>AVX54902.1</t>
  </si>
  <si>
    <t>Magnesium-translocating P-type ATPase</t>
  </si>
  <si>
    <t>AVX54957.1</t>
  </si>
  <si>
    <t>AVX54879.1</t>
  </si>
  <si>
    <t>Uncharacterized helicase</t>
  </si>
  <si>
    <t>AVX54774.1</t>
  </si>
  <si>
    <t>Uncharacterized MFS transporter</t>
  </si>
  <si>
    <t>AVX55015.1</t>
  </si>
  <si>
    <t>tRNA (cytidine(34)-2'-O)-methyltransferase</t>
  </si>
  <si>
    <t>AVX54858.1</t>
  </si>
  <si>
    <t>Uncharacterized ABC transporter ATP-binding protein</t>
  </si>
  <si>
    <t>AVX54587.1</t>
  </si>
  <si>
    <t>50S ribosomal protein L9</t>
  </si>
  <si>
    <t>AVX54993.1</t>
  </si>
  <si>
    <t>Serine hydroxymethyltransferase</t>
  </si>
  <si>
    <t>AVX54968.1</t>
  </si>
  <si>
    <t>Phosphocarrier protein</t>
  </si>
  <si>
    <t>AVX54932.1</t>
  </si>
  <si>
    <t>Ribonuclease J</t>
  </si>
  <si>
    <t>AVX54864.1</t>
  </si>
  <si>
    <t>Signal recognition particle protein</t>
  </si>
  <si>
    <t>AVX54737.1</t>
  </si>
  <si>
    <t>AVX54776.1</t>
  </si>
  <si>
    <t>50S ribosomal protein L17</t>
  </si>
  <si>
    <t>AVX54893.1</t>
  </si>
  <si>
    <t>Translation initiation factor IF-3</t>
  </si>
  <si>
    <t>AVX54658.1</t>
  </si>
  <si>
    <t>AVX54818.1</t>
  </si>
  <si>
    <t>50S ribosomal protein L21</t>
  </si>
  <si>
    <t>AVX54823.1</t>
  </si>
  <si>
    <t>Ribulose-phosphate 3-epimerase</t>
  </si>
  <si>
    <t>AVX54689.1</t>
  </si>
  <si>
    <t>Lysine--tRNA ligase</t>
  </si>
  <si>
    <t>AVX54602.1</t>
  </si>
  <si>
    <t>Replicative DNA helicase</t>
  </si>
  <si>
    <t>AVX54994.1</t>
  </si>
  <si>
    <t>Elongation factor P</t>
  </si>
  <si>
    <t>AVX54759.1</t>
  </si>
  <si>
    <t>Uncharacterized glycosyl transferase</t>
  </si>
  <si>
    <t>AVX54935.1</t>
  </si>
  <si>
    <t>Uncharacterized hydrolase</t>
  </si>
  <si>
    <t>AVX54942.1</t>
  </si>
  <si>
    <t>Spermidine/putrescine ABC transporter permease</t>
  </si>
  <si>
    <t>AVX54653.1</t>
  </si>
  <si>
    <t>Glucose-6-phosphate isomerase</t>
  </si>
  <si>
    <t>AVX54806.1</t>
  </si>
  <si>
    <t>DNA gyrase subunit B</t>
  </si>
  <si>
    <t>AVX54574.1</t>
  </si>
  <si>
    <t>Glutamyl-tRNA amidotransferase subunit B</t>
  </si>
  <si>
    <t>AVX54925.1</t>
  </si>
  <si>
    <t>Transcription termination/antitermination protein NusA</t>
  </si>
  <si>
    <t>AVX54709.1</t>
  </si>
  <si>
    <t>Excinuclease ABC subunit A</t>
  </si>
  <si>
    <t>AVX54986.1</t>
  </si>
  <si>
    <t>Threonine--tRNA ligase</t>
  </si>
  <si>
    <t>AVX54669.1</t>
  </si>
  <si>
    <t>Methionine--tRNA ligase</t>
  </si>
  <si>
    <t>AVX54580.1</t>
  </si>
  <si>
    <t>Glutamyl-tRNA amidotransferase subunit A</t>
  </si>
  <si>
    <t>AVX54926.1</t>
  </si>
  <si>
    <t>AVX54683.1</t>
  </si>
  <si>
    <t>Oligopeptide ABC transporter ATP-binding protein</t>
  </si>
  <si>
    <t>AVX54651.1</t>
  </si>
  <si>
    <t>AVX54877.1</t>
  </si>
  <si>
    <t>Diacylglyceryl transferase</t>
  </si>
  <si>
    <t>AVX54980.1</t>
  </si>
  <si>
    <t>30S ribosomal protein S14</t>
  </si>
  <si>
    <t>AVX54907.1</t>
  </si>
  <si>
    <t>AVX54837.1</t>
  </si>
  <si>
    <t>HPr(Ser) kinase/phosphatase</t>
  </si>
  <si>
    <t>AVX54983.1</t>
  </si>
  <si>
    <t>ECF transporter T component</t>
  </si>
  <si>
    <t>AVX54890.1</t>
  </si>
  <si>
    <t>AVX54760.1</t>
  </si>
  <si>
    <t>AVX55019.1</t>
  </si>
  <si>
    <t>Uncharacterized RNA pseudouridine synthase</t>
  </si>
  <si>
    <t>AVX54833.1</t>
  </si>
  <si>
    <t>AVX54805.1</t>
  </si>
  <si>
    <t>AVX54865.1</t>
  </si>
  <si>
    <t>Proline--tRNA ligase</t>
  </si>
  <si>
    <t>AVX54695.1</t>
  </si>
  <si>
    <t>Nicotinate phosphoribosyltransferase</t>
  </si>
  <si>
    <t>AVX54876.1</t>
  </si>
  <si>
    <t>AVX54989.1</t>
  </si>
  <si>
    <t>30S ribosomal protein S17</t>
  </si>
  <si>
    <t>AVX54911.1</t>
  </si>
  <si>
    <t>AVX54735.1</t>
  </si>
  <si>
    <t>30S ribosomal protein S18</t>
  </si>
  <si>
    <t>AVX54583.1</t>
  </si>
  <si>
    <t>AVX54850.1</t>
  </si>
  <si>
    <t>AVX54843.1</t>
  </si>
  <si>
    <t>AVX54632.1</t>
  </si>
  <si>
    <t>Ribosome biogenesis GTPase</t>
  </si>
  <si>
    <t>AVX54732.1</t>
  </si>
  <si>
    <t>tRNA uridine(34) 5-carboxymethylaminomethyl synthesis GTPase</t>
  </si>
  <si>
    <t>AVX54609.1</t>
  </si>
  <si>
    <t>Guanosine-3',5'-bis(diphosphate) 3'-pyrophosphohydrolase</t>
  </si>
  <si>
    <t>AVX54778.1</t>
  </si>
  <si>
    <t>DNA topoisomerase I</t>
  </si>
  <si>
    <t>AVX55005.1</t>
  </si>
  <si>
    <t>50S ribosomal protein L28</t>
  </si>
  <si>
    <t>AVX54785.1</t>
  </si>
  <si>
    <t>Toxin-antitoxin AAA ATPase</t>
  </si>
  <si>
    <t>AVX54629.1</t>
  </si>
  <si>
    <t>tRNA 4-thiouridine(8) synthase</t>
  </si>
  <si>
    <t>AVX54679.1</t>
  </si>
  <si>
    <t>UMP kinase</t>
  </si>
  <si>
    <t>AVX54849.1</t>
  </si>
  <si>
    <t>UDP-galactopyranose mutase</t>
  </si>
  <si>
    <t>AVX54978.1</t>
  </si>
  <si>
    <t>Tetracycline resistance ribosomal protection protein</t>
  </si>
  <si>
    <t>AVX54582.1</t>
  </si>
  <si>
    <t>AVX54650.1</t>
  </si>
  <si>
    <t>F0F1 ATP synthase subunit beta</t>
  </si>
  <si>
    <t>AVX54959.1</t>
  </si>
  <si>
    <t>Phosphopentomutase</t>
  </si>
  <si>
    <t>AVX54946.1</t>
  </si>
  <si>
    <t>Flippase A</t>
  </si>
  <si>
    <t>AVX54744.1</t>
  </si>
  <si>
    <t>F0F1 ATP synthase subunit B</t>
  </si>
  <si>
    <t>AVX54963.1</t>
  </si>
  <si>
    <t>Uncharacterized ECF transporter S component</t>
  </si>
  <si>
    <t>AVX54716.1</t>
  </si>
  <si>
    <t>NanoRNAse</t>
  </si>
  <si>
    <t>AVX54633.1</t>
  </si>
  <si>
    <t>Glucosamine-6-phosphate deaminase</t>
  </si>
  <si>
    <t>AVX54940.1</t>
  </si>
  <si>
    <t>50S ribosomal protein L27</t>
  </si>
  <si>
    <t>AVX54821.1</t>
  </si>
  <si>
    <t>Ribosome GTPase</t>
  </si>
  <si>
    <t>AVX54749.1</t>
  </si>
  <si>
    <t>dTMP kinase</t>
  </si>
  <si>
    <t>AVX54595.1</t>
  </si>
  <si>
    <t>Glutamate--tRNA ligase</t>
  </si>
  <si>
    <t>AVX54624.1</t>
  </si>
  <si>
    <t>AVX54853.1</t>
  </si>
  <si>
    <t>Flippase B</t>
  </si>
  <si>
    <t>AVX54745.1</t>
  </si>
  <si>
    <t>AVX54954.1</t>
  </si>
  <si>
    <t>Valine--tRNA ligase</t>
  </si>
  <si>
    <t>AVX54688.1</t>
  </si>
  <si>
    <t>NAD(+) kinase</t>
  </si>
  <si>
    <t>AVX54687.1</t>
  </si>
  <si>
    <t>AVX54799.1</t>
  </si>
  <si>
    <t>Heat-inducible transcription repressor</t>
  </si>
  <si>
    <t>AVX54856.1</t>
  </si>
  <si>
    <t>Thioredoxin-disulfide reductase</t>
  </si>
  <si>
    <t>AVX54981.1</t>
  </si>
  <si>
    <t>PTS glucose transporter subunit IIA</t>
  </si>
  <si>
    <t>AVX54675.1</t>
  </si>
  <si>
    <t>AVX54719.1</t>
  </si>
  <si>
    <t>Histidine--tRNA ligase</t>
  </si>
  <si>
    <t>AVX54700.1</t>
  </si>
  <si>
    <t>Chromosome segregation protein</t>
  </si>
  <si>
    <t>AVX54779.1</t>
  </si>
  <si>
    <t>Chromosomal replication initiator protein</t>
  </si>
  <si>
    <t>AVX54569.1</t>
  </si>
  <si>
    <t>CDP-diacylglycerol--glycerol-3-phosphate 3-phosphatidyltransferase</t>
  </si>
  <si>
    <t>AVX55010.1</t>
  </si>
  <si>
    <t>Type I methionyl aminopeptidase</t>
  </si>
  <si>
    <t>AVX54899.1</t>
  </si>
  <si>
    <t>Aminoacyl-tRNA hydrolase</t>
  </si>
  <si>
    <t>AVX54992.1</t>
  </si>
  <si>
    <t>Deoxyribose-phosphate aldolase</t>
  </si>
  <si>
    <t>AVX54945.1</t>
  </si>
  <si>
    <t>Uncharacterized amino acid permease</t>
  </si>
  <si>
    <t>AVX55013.1</t>
  </si>
  <si>
    <t>ATP-dependent DNA helicase</t>
  </si>
  <si>
    <t>AVX54933.1</t>
  </si>
  <si>
    <t>Ribonuclease III</t>
  </si>
  <si>
    <t>AVX54781.1</t>
  </si>
  <si>
    <t>Uncharacterized ATPase</t>
  </si>
  <si>
    <t>AVX55007.1</t>
  </si>
  <si>
    <t>Arginine--tRNA ligase</t>
  </si>
  <si>
    <t>AVX54847.1</t>
  </si>
  <si>
    <t>DNA-directed RNA polymerase subunit delta</t>
  </si>
  <si>
    <t>AVX54626.1</t>
  </si>
  <si>
    <t>Glycine--tRNA ligase</t>
  </si>
  <si>
    <t>AVX54769.1</t>
  </si>
  <si>
    <t>AVX54885.1</t>
  </si>
  <si>
    <t>AVX54995.1</t>
  </si>
  <si>
    <t>AVX54729.1</t>
  </si>
  <si>
    <t>Uncharacterized metallophosphoesterase</t>
  </si>
  <si>
    <t>AVX54793.1</t>
  </si>
  <si>
    <t>Phosphate ABC transporter ATP-binding protein</t>
  </si>
  <si>
    <t>AVX54789.1</t>
  </si>
  <si>
    <t>Isoleucine--tRNA ligase</t>
  </si>
  <si>
    <t>AVX54835.1</t>
  </si>
  <si>
    <t>DNA topoisomerase IV subunit B</t>
  </si>
  <si>
    <t>AVX54810.1</t>
  </si>
  <si>
    <t>Nucleoside ABC transporter substrate-binding protein</t>
  </si>
  <si>
    <t>AVX54579.1</t>
  </si>
  <si>
    <t>Cytidine deaminase</t>
  </si>
  <si>
    <t>AVX54831.1</t>
  </si>
  <si>
    <t>Phosphate acyltransferase</t>
  </si>
  <si>
    <t>AVX54782.1</t>
  </si>
  <si>
    <t>AVX55011.1</t>
  </si>
  <si>
    <t>Ribosome assembly cofactor</t>
  </si>
  <si>
    <t>AVX54710.1</t>
  </si>
  <si>
    <t>Tyrosine--tRNA ligase</t>
  </si>
  <si>
    <t>AVX54875.1</t>
  </si>
  <si>
    <t>tRNA (N6-adenosine(37)-N6)-threonylcarbamoyltransferase complex ATPase</t>
  </si>
  <si>
    <t>AVX54692.1</t>
  </si>
  <si>
    <t>Deoxyguanosine kinase</t>
  </si>
  <si>
    <t>AVX54725.1</t>
  </si>
  <si>
    <t>Phosphate transport system regulatory protein</t>
  </si>
  <si>
    <t>AVX54790.1</t>
  </si>
  <si>
    <t>Aspartate--tRNA ligase</t>
  </si>
  <si>
    <t>AVX54699.1</t>
  </si>
  <si>
    <t>DNA-formamidopyrimidine glycosylase</t>
  </si>
  <si>
    <t>AVX54872.1</t>
  </si>
  <si>
    <t>tRNA uridine(34) 5-carboxymethylaminomethyl synthesis enzyme</t>
  </si>
  <si>
    <t>AVX55016.1</t>
  </si>
  <si>
    <t>Chromosome segregation protein B</t>
  </si>
  <si>
    <t>AVX54723.1</t>
  </si>
  <si>
    <t>Thioredoxin</t>
  </si>
  <si>
    <t>AVX54603.1</t>
  </si>
  <si>
    <t>Ribonuclease R</t>
  </si>
  <si>
    <t>AVX54952.1</t>
  </si>
  <si>
    <t>Peptide deformylase</t>
  </si>
  <si>
    <t>AVX54659.1</t>
  </si>
  <si>
    <t>Uncharacterized rRNA methyltransferase</t>
  </si>
  <si>
    <t>AVX54808.1</t>
  </si>
  <si>
    <t>AVX54814.1</t>
  </si>
  <si>
    <t>Toxin-antitoxin serine protease</t>
  </si>
  <si>
    <t>AVX54630.1</t>
  </si>
  <si>
    <t>AVX54955.1</t>
  </si>
  <si>
    <t>Guanylate kinase</t>
  </si>
  <si>
    <t>AVX54661.1</t>
  </si>
  <si>
    <t>Ribonuclease M5</t>
  </si>
  <si>
    <t>AVX54571.1</t>
  </si>
  <si>
    <t>AVX54708.1</t>
  </si>
  <si>
    <t>Ribosome biogenesis GTP-binding protein</t>
  </si>
  <si>
    <t>AVX54680.1</t>
  </si>
  <si>
    <t>Preprotein translocase subunit</t>
  </si>
  <si>
    <t>AVX54901.1</t>
  </si>
  <si>
    <t>F0F1 ATP synthase subunit delta</t>
  </si>
  <si>
    <t>AVX54962.1</t>
  </si>
  <si>
    <t>DNA primase</t>
  </si>
  <si>
    <t>AVX54770.1</t>
  </si>
  <si>
    <t>Nucleoside ABC transporter ATP-binding protein</t>
  </si>
  <si>
    <t>AVX54578.1</t>
  </si>
  <si>
    <t>Leucine--tRNA ligase</t>
  </si>
  <si>
    <t>AVX54884.1</t>
  </si>
  <si>
    <t>Magnesium transporter</t>
  </si>
  <si>
    <t>AVX55014.1</t>
  </si>
  <si>
    <t>AVX54839.1</t>
  </si>
  <si>
    <t>DNA topoisomerase IV subunit A</t>
  </si>
  <si>
    <t>AVX54811.1</t>
  </si>
  <si>
    <t>AVX54767.1</t>
  </si>
  <si>
    <t>Ribonucleotide reductase assembly protein</t>
  </si>
  <si>
    <t>AVX54949.1</t>
  </si>
  <si>
    <t>Double-stranded RNA binding RNase HI</t>
  </si>
  <si>
    <t>AVX54696.1</t>
  </si>
  <si>
    <t>AVX54588.1</t>
  </si>
  <si>
    <t>AVX54773.1</t>
  </si>
  <si>
    <t>23S rRNA (pseudouridine(1915)-N3)-methyltransferase</t>
  </si>
  <si>
    <t>AVX54738.1</t>
  </si>
  <si>
    <t>Membrane protein insertase</t>
  </si>
  <si>
    <t>AVX55021.1</t>
  </si>
  <si>
    <t>Thymidine kinase</t>
  </si>
  <si>
    <t>AVX54634.1</t>
  </si>
  <si>
    <t>AVX54573.1</t>
  </si>
  <si>
    <t>AVX54939.1</t>
  </si>
  <si>
    <t>AVX54654.1</t>
  </si>
  <si>
    <t>AVX54828.1</t>
  </si>
  <si>
    <t>DNA polymerase III subunit delta</t>
  </si>
  <si>
    <t>AVX54988.1</t>
  </si>
  <si>
    <t>DNA polymerase III subunit gamma and tau</t>
  </si>
  <si>
    <t>AVX54597.1</t>
  </si>
  <si>
    <t>AVX54757.1</t>
  </si>
  <si>
    <t>Non-canonical purine NTP pyrophosphatase</t>
  </si>
  <si>
    <t>AVX54859.1</t>
  </si>
  <si>
    <t>AVX54606.1</t>
  </si>
  <si>
    <t>Methionine adenosyltransferase</t>
  </si>
  <si>
    <t>AVX54794.1</t>
  </si>
  <si>
    <t>Ribose 5-phosphate isomerase B</t>
  </si>
  <si>
    <t>AVX54969.1</t>
  </si>
  <si>
    <t>AVX54762.1</t>
  </si>
  <si>
    <t>DNA polymerase I</t>
  </si>
  <si>
    <t>AVX54873.1</t>
  </si>
  <si>
    <t>Nucleoside ABC transporter permease</t>
  </si>
  <si>
    <t>AVX54576.1</t>
  </si>
  <si>
    <t>Translation initiation factor IF-1</t>
  </si>
  <si>
    <t>AVX54898.1</t>
  </si>
  <si>
    <t>Maturation protease for ribosomal protein L27</t>
  </si>
  <si>
    <t>AVX54822.1</t>
  </si>
  <si>
    <t>tRNA pseudouridine(38-40) synthase</t>
  </si>
  <si>
    <t>AVX54889.1</t>
  </si>
  <si>
    <t>PolC-type DNA polymerase III</t>
  </si>
  <si>
    <t>AVX54712.1</t>
  </si>
  <si>
    <t>tRNA N6-adenosine(37)-N6-threonylcarbamoyltransferase complex dimerization subunit</t>
  </si>
  <si>
    <t>AVX54693.1</t>
  </si>
  <si>
    <t>Uncharacterized pseudouridine synthase</t>
  </si>
  <si>
    <t>AVX54724.1</t>
  </si>
  <si>
    <t>Uncharacterized methyltransferase</t>
  </si>
  <si>
    <t>AVX54593.1</t>
  </si>
  <si>
    <t>AVX54880.1</t>
  </si>
  <si>
    <t>AVX54746.1</t>
  </si>
  <si>
    <t>16S rRNA (guanine(966)-N(2))-methyltransferase</t>
  </si>
  <si>
    <t>AVX54660.1</t>
  </si>
  <si>
    <t>Uncharacterized efflux ABC transporter permease</t>
  </si>
  <si>
    <t>AVX54888.1</t>
  </si>
  <si>
    <t>NAD(+) synthase</t>
  </si>
  <si>
    <t>AVX54750.1</t>
  </si>
  <si>
    <t>AVX54647.1</t>
  </si>
  <si>
    <t>Uncharacterized phosphohydrolase</t>
  </si>
  <si>
    <t>AVX54625.1</t>
  </si>
  <si>
    <t>Proton-glutamate symporter</t>
  </si>
  <si>
    <t>AVX55017.1</t>
  </si>
  <si>
    <t>F0F1 ATP synthase subunit gamma</t>
  </si>
  <si>
    <t>AVX54960.1</t>
  </si>
  <si>
    <t>AVX54617.1</t>
  </si>
  <si>
    <t>AVX54589.1</t>
  </si>
  <si>
    <t>50S ribosomal protein L16</t>
  </si>
  <si>
    <t>AVX54913.1</t>
  </si>
  <si>
    <t>Oligopeptide ABC transporter permease</t>
  </si>
  <si>
    <t>AVX54648.1</t>
  </si>
  <si>
    <t>AVX54784.1</t>
  </si>
  <si>
    <t>Thiamine ABC transporter ATP-binding protein</t>
  </si>
  <si>
    <t>AVX54937.1</t>
  </si>
  <si>
    <t>Cysteine--tRNA ligase</t>
  </si>
  <si>
    <t>AVX54997.1</t>
  </si>
  <si>
    <t>16S rRNA (adenine(1518)-N(6)/adenine(1519)-N(6))-dimethyltransferase</t>
  </si>
  <si>
    <t>AVX54572.1</t>
  </si>
  <si>
    <t>Coenzyme A Disulfide Reductase</t>
  </si>
  <si>
    <t>AVX55018.1</t>
  </si>
  <si>
    <t>SsrA-binding protein</t>
  </si>
  <si>
    <t>AVX54953.1</t>
  </si>
  <si>
    <t>AVX54649.1</t>
  </si>
  <si>
    <t>AVX54832.1</t>
  </si>
  <si>
    <t>Excinuclease ABC subunit C</t>
  </si>
  <si>
    <t>AVX54685.1</t>
  </si>
  <si>
    <t>AVX54682.1</t>
  </si>
  <si>
    <t>Methionyl-tRNA formyltransferase</t>
  </si>
  <si>
    <t>AVX54758.1</t>
  </si>
  <si>
    <t>AVX54577.1</t>
  </si>
  <si>
    <t>tRNA (adenosine(37)-N6)-threonylcarbamoyltransferase complex transferase subunit D</t>
  </si>
  <si>
    <t>AVX54607.1</t>
  </si>
  <si>
    <t>AVX54622.1</t>
  </si>
  <si>
    <t>Tryptophan--tRNA ligase</t>
  </si>
  <si>
    <t>AVX54715.1</t>
  </si>
  <si>
    <t>50S ribosomal protein L31</t>
  </si>
  <si>
    <t>AVX54631.1</t>
  </si>
  <si>
    <t>AVX54972.1</t>
  </si>
  <si>
    <t>tRNA 2-thiouridine(34) synthase</t>
  </si>
  <si>
    <t>AVX54755.1</t>
  </si>
  <si>
    <t>16S rRNA (cytidine(1402)-2'-O)-methyltransferase</t>
  </si>
  <si>
    <t>AVX54825.1</t>
  </si>
  <si>
    <t>F0F1 ATP synthase subunit delta/epsilon</t>
  </si>
  <si>
    <t>AVX54958.1</t>
  </si>
  <si>
    <t>AVX55020.1</t>
  </si>
  <si>
    <t>30S ribosomal protein S21</t>
  </si>
  <si>
    <t>AVX54816.1</t>
  </si>
  <si>
    <t>16S rRNA (guanine(527)-N(7))-methyltransferase</t>
  </si>
  <si>
    <t>AVX55009.1</t>
  </si>
  <si>
    <t>DNA ligase (NAD(+))</t>
  </si>
  <si>
    <t>AVX54928.1</t>
  </si>
  <si>
    <t>Uncharacterized 5'-3' exonuclease</t>
  </si>
  <si>
    <t>AVX54613.1</t>
  </si>
  <si>
    <t>23S rRNA (guanosine(2251)-2'-O)-methyltransferase</t>
  </si>
  <si>
    <t>AVX54998.1</t>
  </si>
  <si>
    <t>AVX54775.1</t>
  </si>
  <si>
    <t>AVX54694.1</t>
  </si>
  <si>
    <t>AVX54721.1</t>
  </si>
  <si>
    <t>AVX54730.1</t>
  </si>
  <si>
    <t>Cytidylate kinase</t>
  </si>
  <si>
    <t>AVX54731.1</t>
  </si>
  <si>
    <t>50S ribosomal protein L36</t>
  </si>
  <si>
    <t>AVX54897.1</t>
  </si>
  <si>
    <t>AVX54676.1</t>
  </si>
  <si>
    <t>AVX54763.1</t>
  </si>
  <si>
    <t>AVX54594.1</t>
  </si>
  <si>
    <t>Uncharacterized DNA-binding protein</t>
  </si>
  <si>
    <t>AVX54792.1</t>
  </si>
  <si>
    <t>AVX54861.1</t>
  </si>
  <si>
    <t>Sodium transporter</t>
  </si>
  <si>
    <t>AVX54923.1</t>
  </si>
  <si>
    <t>Cardiolipin synthase</t>
  </si>
  <si>
    <t>AVX54641.1</t>
  </si>
  <si>
    <t>Transcription antitermination factor</t>
  </si>
  <si>
    <t>AVX54616.1</t>
  </si>
  <si>
    <t>Bifunctional 5,10-methylene-tetrahydrofolate dehydrogenase/5,10-methylene-tetrahydrofolate cyclohydrolase</t>
  </si>
  <si>
    <t>AVX54922.1</t>
  </si>
  <si>
    <t>AVX54979.1</t>
  </si>
  <si>
    <t>Excinuclease ABC subunit B</t>
  </si>
  <si>
    <t>AVX54987.1</t>
  </si>
  <si>
    <t>Deoxynucleoside kinase</t>
  </si>
  <si>
    <t>AVX54754.1</t>
  </si>
  <si>
    <t>AVX54726.1</t>
  </si>
  <si>
    <t>AVX54984.1</t>
  </si>
  <si>
    <t>Phosphate ABC transporter permease</t>
  </si>
  <si>
    <t>AVX54788.1</t>
  </si>
  <si>
    <t>Putative pre-16S rRNA nuclease</t>
  </si>
  <si>
    <t>AVX54664.1</t>
  </si>
  <si>
    <t>23S rRNA (uridine(1939)-m5)-methyltransferase</t>
  </si>
  <si>
    <t>AVX54796.1</t>
  </si>
  <si>
    <t>AVX54795.1</t>
  </si>
  <si>
    <t>N-acetylmannosamine-6-phosphate 2-epimerase</t>
  </si>
  <si>
    <t>AVX54819.1</t>
  </si>
  <si>
    <t>AVX54678.1</t>
  </si>
  <si>
    <t>Primosomal protein</t>
  </si>
  <si>
    <t>AVX54870.1</t>
  </si>
  <si>
    <t>AVX54599.1</t>
  </si>
  <si>
    <t>Uncharacterized tRNA dihydrouridine synthase</t>
  </si>
  <si>
    <t>AVX54601.1</t>
  </si>
  <si>
    <t>Cysteine desulfurase</t>
  </si>
  <si>
    <t>AVX54802.1</t>
  </si>
  <si>
    <t>Uncharacterized protease</t>
  </si>
  <si>
    <t>AVX54931.1</t>
  </si>
  <si>
    <t>30S ribosomal protein S16</t>
  </si>
  <si>
    <t>AVX54739.1</t>
  </si>
  <si>
    <t>Recombination protein</t>
  </si>
  <si>
    <t>AVX54596.1</t>
  </si>
  <si>
    <t>Phosphatidate cytidylyltransferase</t>
  </si>
  <si>
    <t>AVX54713.1</t>
  </si>
  <si>
    <t>30S ribosomal protein S20</t>
  </si>
  <si>
    <t>AVX54610.1</t>
  </si>
  <si>
    <t>Nicotinate (nicotinamide) nucleotide adenylyltransferase</t>
  </si>
  <si>
    <t>AVX54752.1</t>
  </si>
  <si>
    <t>FAD synthetase</t>
  </si>
  <si>
    <t>AVX54703.1</t>
  </si>
  <si>
    <t>Glycolipid synthase B</t>
  </si>
  <si>
    <t>AVX54620.1</t>
  </si>
  <si>
    <t>DNA polymerase III subunit alpha</t>
  </si>
  <si>
    <t>AVX54874.1</t>
  </si>
  <si>
    <t>Deoxyribonuclease IV</t>
  </si>
  <si>
    <t>AVX54618.1</t>
  </si>
  <si>
    <t>tRNA lysidine(34) synthetase</t>
  </si>
  <si>
    <t>AVX54591.1</t>
  </si>
  <si>
    <t>tRNA (adenosine(37)-N6)-threonylcarbamoyltransferase complex transferase subunit</t>
  </si>
  <si>
    <t>AVX54638.1</t>
  </si>
  <si>
    <t>dUTP diphosphatase</t>
  </si>
  <si>
    <t>AVX54807.1</t>
  </si>
  <si>
    <t>AVX54747.1</t>
  </si>
  <si>
    <t>DNA-binding protein</t>
  </si>
  <si>
    <t>AVX54733.1</t>
  </si>
  <si>
    <t>AVX54705.1</t>
  </si>
  <si>
    <t>Protein-(glutamine-N5) methyltransferase, release factor-specific</t>
  </si>
  <si>
    <t>AVX54636.1</t>
  </si>
  <si>
    <t>Glycolipid synthase A</t>
  </si>
  <si>
    <t>AVX54619.1</t>
  </si>
  <si>
    <t>16S rRNA processing protein</t>
  </si>
  <si>
    <t>AVX54740.1</t>
  </si>
  <si>
    <t>rRNA maturation RNase</t>
  </si>
  <si>
    <t>AVX54766.1</t>
  </si>
  <si>
    <t>Phosphate ABC transporter substrate-binding protein</t>
  </si>
  <si>
    <t>AVX54787.1</t>
  </si>
  <si>
    <t>AVX54836.1</t>
  </si>
  <si>
    <t>Flavin reductase</t>
  </si>
  <si>
    <t>AVX54711.1</t>
  </si>
  <si>
    <t>AVX54813.1</t>
  </si>
  <si>
    <t>30S ribosomal protein S15</t>
  </si>
  <si>
    <t>AVX54704.1</t>
  </si>
  <si>
    <t>50S ribosomal protein L33</t>
  </si>
  <si>
    <t>AVX54999.1</t>
  </si>
  <si>
    <t>Exodeoxyribonuclease VII small subunit</t>
  </si>
  <si>
    <t>AVX54614.1</t>
  </si>
  <si>
    <t>AVX54930.1</t>
  </si>
  <si>
    <t>Iron-sulfur cluster assembly scaffold protein</t>
  </si>
  <si>
    <t>AVX54803.1</t>
  </si>
  <si>
    <t>AVX54608.1</t>
  </si>
  <si>
    <t>Uncharacterized C4-dicarboxylate ABC transporter</t>
  </si>
  <si>
    <t>AVX55006.1</t>
  </si>
  <si>
    <t>AVX54623.1</t>
  </si>
  <si>
    <t>Chromosome segregation protein A</t>
  </si>
  <si>
    <t>AVX54722.1</t>
  </si>
  <si>
    <t>Mannose-6-phosphate isomerase</t>
  </si>
  <si>
    <t>AVX54797.1</t>
  </si>
  <si>
    <t>Ribosome small subunit-dependent GTPase A</t>
  </si>
  <si>
    <t>AVX54690.1</t>
  </si>
  <si>
    <t>16S rRNA (cytosine(1402)-N(4))-methyltransferase</t>
  </si>
  <si>
    <t>AVX54840.1</t>
  </si>
  <si>
    <t>AVX54720.1</t>
  </si>
  <si>
    <t>AVX54681.1</t>
  </si>
  <si>
    <t>Dihydrofolate synthase</t>
  </si>
  <si>
    <t>AVX54985.1</t>
  </si>
  <si>
    <t>AVX54764.1</t>
  </si>
  <si>
    <t>AVX54717.1</t>
  </si>
  <si>
    <t>AVX55004.1</t>
  </si>
  <si>
    <t>AVX54982.1</t>
  </si>
  <si>
    <t>AVX54640.1</t>
  </si>
  <si>
    <t>AVX54867.1</t>
  </si>
  <si>
    <t>AVX54772.1</t>
  </si>
  <si>
    <t>AVX54929.1</t>
  </si>
  <si>
    <t>Cell division/cell wall cluster transcriptional repressor</t>
  </si>
  <si>
    <t>AVX54841.1</t>
  </si>
  <si>
    <t>AVX54637.1</t>
  </si>
  <si>
    <t>5-Formyltetrahydrofolate cyclo-ligase</t>
  </si>
  <si>
    <t>AVX54804.1</t>
  </si>
  <si>
    <t>Uncharacterized L7Ae family protein</t>
  </si>
  <si>
    <t>AVX54707.1</t>
  </si>
  <si>
    <t>Exodeoxyribonuclease VII large subunit</t>
  </si>
  <si>
    <t>AVX54615.1</t>
  </si>
  <si>
    <t>Acyl carrier protein</t>
  </si>
  <si>
    <t>AVX54881.1</t>
  </si>
  <si>
    <t>DNA repair protein</t>
  </si>
  <si>
    <t>AVX54768.1</t>
  </si>
  <si>
    <t>Phosphatidylglycerophosphatase</t>
  </si>
  <si>
    <t>AVX54663.1</t>
  </si>
  <si>
    <t>AVX54698.1</t>
  </si>
  <si>
    <t>AVX55000.1</t>
  </si>
  <si>
    <t>Glutamyl-tRNA amidotransferase subunit C</t>
  </si>
  <si>
    <t>AVX54927.1</t>
  </si>
  <si>
    <t>Uncharacterized kinase</t>
  </si>
  <si>
    <t>AVX54820.1</t>
  </si>
  <si>
    <t>AVX54734.1</t>
  </si>
  <si>
    <t>AVX54786.1</t>
  </si>
  <si>
    <t>tRNA (guanosine(37)-N1)-methyltransferase</t>
  </si>
  <si>
    <t>AVX54741.1</t>
  </si>
  <si>
    <t>AVX54996.1</t>
  </si>
  <si>
    <t>50S ribosomal protein L32</t>
  </si>
  <si>
    <t>AVX54842.1</t>
  </si>
  <si>
    <t>Chromosome replication initiation protein</t>
  </si>
  <si>
    <t>AVX54871.1</t>
  </si>
  <si>
    <t>5'-Methylthioadenosine nucleosidase</t>
  </si>
  <si>
    <t>AVX54753.1</t>
  </si>
  <si>
    <t>AVX54863.1</t>
  </si>
  <si>
    <t>AVX54748.1</t>
  </si>
  <si>
    <t>F0F1 ATP synthase subunit A</t>
  </si>
  <si>
    <t>AVX54965.1</t>
  </si>
  <si>
    <t>AVX54951.1</t>
  </si>
  <si>
    <t>AVX55012.1</t>
  </si>
  <si>
    <t>Ribonuclease P protein component</t>
  </si>
  <si>
    <t>AVX55022.1</t>
  </si>
  <si>
    <t>Uncharacterized transporter</t>
  </si>
  <si>
    <t>AVX54934.1</t>
  </si>
  <si>
    <t>AVX54944.1</t>
  </si>
  <si>
    <t>Thiamine ABC transporter permease</t>
  </si>
  <si>
    <t>AVX54936.1</t>
  </si>
  <si>
    <t>tRNA pseudouridine(55) synthase</t>
  </si>
  <si>
    <t>AVX54702.1</t>
  </si>
  <si>
    <t>ACP synthase</t>
  </si>
  <si>
    <t>AVX54830.1</t>
  </si>
  <si>
    <t>AVX54780.1</t>
  </si>
  <si>
    <t>AVX55003.1</t>
  </si>
  <si>
    <t>AVX54765.1</t>
  </si>
  <si>
    <t>AVX54611.1</t>
  </si>
  <si>
    <t>50S ribosomal protein L34</t>
  </si>
  <si>
    <t>AVX55023.1</t>
  </si>
  <si>
    <t>AVX54826.1</t>
  </si>
  <si>
    <t>AVX55008.1</t>
  </si>
  <si>
    <t>Uncharacterized serine/threonine protein kinase</t>
  </si>
  <si>
    <t>AVX54691.1</t>
  </si>
  <si>
    <t>Lipoprotein signal peptidase</t>
  </si>
  <si>
    <t>AVX54834.1</t>
  </si>
  <si>
    <t>AVX54751.1</t>
  </si>
  <si>
    <t>Adenylyl-sulfate kinase</t>
  </si>
  <si>
    <t>AVX54860.1</t>
  </si>
  <si>
    <t>AVX54990.1</t>
  </si>
  <si>
    <t>AVX54815.1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</si>
</sst>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0000"/>
      <name val="Aptos Narrow"/>
      <family val="2"/>
      <charset val="1"/>
    </font>
    <font>
      <sz val="11"/>
      <color theme="5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3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8" fillId="0" borderId="10" xfId="0" applyFont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8" fillId="0" borderId="0" xfId="0" applyFont="1"/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0" fontId="20" fillId="0" borderId="0" xfId="0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00000000-0005-0000-0000-000025000000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iBAQ!$H$1</c:f>
              <c:strCache>
                <c:ptCount val="1"/>
                <c:pt idx="0">
                  <c:v>Cumulative abundance, 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iBAQ!$A$2:$A$449</c:f>
              <c:numCache>
                <c:formatCode>General</c:formatCode>
                <c:ptCount val="4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</c:numCache>
            </c:numRef>
          </c:xVal>
          <c:yVal>
            <c:numRef>
              <c:f>iBAQ!$H$2:$H$449</c:f>
              <c:numCache>
                <c:formatCode>0.0000%</c:formatCode>
                <c:ptCount val="448"/>
                <c:pt idx="0">
                  <c:v>6.5850461597782434E-2</c:v>
                </c:pt>
                <c:pt idx="1">
                  <c:v>9.6689685383734889E-2</c:v>
                </c:pt>
                <c:pt idx="2">
                  <c:v>0.12594936295629067</c:v>
                </c:pt>
                <c:pt idx="3">
                  <c:v>0.15330547165469707</c:v>
                </c:pt>
                <c:pt idx="4">
                  <c:v>0.17036890607326452</c:v>
                </c:pt>
                <c:pt idx="5">
                  <c:v>0.18631379344149687</c:v>
                </c:pt>
                <c:pt idx="6">
                  <c:v>0.20217913600812382</c:v>
                </c:pt>
                <c:pt idx="7">
                  <c:v>0.21663598191608885</c:v>
                </c:pt>
                <c:pt idx="8">
                  <c:v>0.23088527479833323</c:v>
                </c:pt>
                <c:pt idx="9">
                  <c:v>0.24383954476999251</c:v>
                </c:pt>
                <c:pt idx="10">
                  <c:v>0.25658772721450085</c:v>
                </c:pt>
                <c:pt idx="11">
                  <c:v>0.26911558008135378</c:v>
                </c:pt>
                <c:pt idx="12">
                  <c:v>0.28126048949188404</c:v>
                </c:pt>
                <c:pt idx="13">
                  <c:v>0.29301199048850801</c:v>
                </c:pt>
                <c:pt idx="14">
                  <c:v>0.30473748415255075</c:v>
                </c:pt>
                <c:pt idx="15">
                  <c:v>0.31635626693569446</c:v>
                </c:pt>
                <c:pt idx="16">
                  <c:v>0.32712423130714235</c:v>
                </c:pt>
                <c:pt idx="17">
                  <c:v>0.33748513933522123</c:v>
                </c:pt>
                <c:pt idx="18">
                  <c:v>0.3475715777683297</c:v>
                </c:pt>
                <c:pt idx="19">
                  <c:v>0.35754434441301436</c:v>
                </c:pt>
                <c:pt idx="20">
                  <c:v>0.36721137047053498</c:v>
                </c:pt>
                <c:pt idx="21">
                  <c:v>0.37642115676069243</c:v>
                </c:pt>
                <c:pt idx="22">
                  <c:v>0.38532911102168821</c:v>
                </c:pt>
                <c:pt idx="23">
                  <c:v>0.3941844034048122</c:v>
                </c:pt>
                <c:pt idx="24">
                  <c:v>0.40302693946139839</c:v>
                </c:pt>
                <c:pt idx="25">
                  <c:v>0.41130267393144671</c:v>
                </c:pt>
                <c:pt idx="26">
                  <c:v>0.41942400687680265</c:v>
                </c:pt>
                <c:pt idx="27">
                  <c:v>0.4274990885524636</c:v>
                </c:pt>
                <c:pt idx="28">
                  <c:v>0.43540606768230161</c:v>
                </c:pt>
                <c:pt idx="29">
                  <c:v>0.44329024351955959</c:v>
                </c:pt>
                <c:pt idx="30">
                  <c:v>0.45115462796296529</c:v>
                </c:pt>
                <c:pt idx="31">
                  <c:v>0.45897911528228585</c:v>
                </c:pt>
                <c:pt idx="32">
                  <c:v>0.46680274049405224</c:v>
                </c:pt>
                <c:pt idx="33">
                  <c:v>0.47461981941893572</c:v>
                </c:pt>
                <c:pt idx="34">
                  <c:v>0.48222520669620356</c:v>
                </c:pt>
                <c:pt idx="35">
                  <c:v>0.48957459016611377</c:v>
                </c:pt>
                <c:pt idx="36">
                  <c:v>0.49669300634218388</c:v>
                </c:pt>
                <c:pt idx="37">
                  <c:v>0.5037082742567931</c:v>
                </c:pt>
                <c:pt idx="38">
                  <c:v>0.51071201158820534</c:v>
                </c:pt>
                <c:pt idx="39">
                  <c:v>0.51711465854308358</c:v>
                </c:pt>
                <c:pt idx="40">
                  <c:v>0.52327385449908326</c:v>
                </c:pt>
                <c:pt idx="41">
                  <c:v>0.52942885073563395</c:v>
                </c:pt>
                <c:pt idx="42">
                  <c:v>0.53558135377062144</c:v>
                </c:pt>
                <c:pt idx="43">
                  <c:v>0.54163545013569614</c:v>
                </c:pt>
                <c:pt idx="44">
                  <c:v>0.54768655061381577</c:v>
                </c:pt>
                <c:pt idx="45">
                  <c:v>0.55368929890910956</c:v>
                </c:pt>
                <c:pt idx="46">
                  <c:v>0.55944287115403957</c:v>
                </c:pt>
                <c:pt idx="47">
                  <c:v>0.56517896107129373</c:v>
                </c:pt>
                <c:pt idx="48">
                  <c:v>0.57085189676453374</c:v>
                </c:pt>
                <c:pt idx="49">
                  <c:v>0.57638319063051857</c:v>
                </c:pt>
                <c:pt idx="50">
                  <c:v>0.58177164220765387</c:v>
                </c:pt>
                <c:pt idx="51">
                  <c:v>0.5870043873006171</c:v>
                </c:pt>
                <c:pt idx="52">
                  <c:v>0.59222305846668966</c:v>
                </c:pt>
                <c:pt idx="53">
                  <c:v>0.59734401863223952</c:v>
                </c:pt>
                <c:pt idx="54">
                  <c:v>0.60232683554288147</c:v>
                </c:pt>
                <c:pt idx="55">
                  <c:v>0.60725754845952351</c:v>
                </c:pt>
                <c:pt idx="56">
                  <c:v>0.61200204445900563</c:v>
                </c:pt>
                <c:pt idx="57">
                  <c:v>0.61655325645046788</c:v>
                </c:pt>
                <c:pt idx="58">
                  <c:v>0.62106712730241187</c:v>
                </c:pt>
                <c:pt idx="59">
                  <c:v>0.62551972868453998</c:v>
                </c:pt>
                <c:pt idx="60">
                  <c:v>0.62973071662939439</c:v>
                </c:pt>
                <c:pt idx="61">
                  <c:v>0.63389590416236585</c:v>
                </c:pt>
                <c:pt idx="62">
                  <c:v>0.63787983969181927</c:v>
                </c:pt>
                <c:pt idx="63">
                  <c:v>0.64183015260529597</c:v>
                </c:pt>
                <c:pt idx="64">
                  <c:v>0.6457797117013655</c:v>
                </c:pt>
                <c:pt idx="65">
                  <c:v>0.64970089709338563</c:v>
                </c:pt>
                <c:pt idx="66">
                  <c:v>0.65350885776253154</c:v>
                </c:pt>
                <c:pt idx="67">
                  <c:v>0.65730202903136203</c:v>
                </c:pt>
                <c:pt idx="68">
                  <c:v>0.66107823877649396</c:v>
                </c:pt>
                <c:pt idx="69">
                  <c:v>0.66485212976411312</c:v>
                </c:pt>
                <c:pt idx="70">
                  <c:v>0.66857512606793801</c:v>
                </c:pt>
                <c:pt idx="71">
                  <c:v>0.67224035737336851</c:v>
                </c:pt>
                <c:pt idx="72">
                  <c:v>0.67590308747134953</c:v>
                </c:pt>
                <c:pt idx="73">
                  <c:v>0.67956401118854615</c:v>
                </c:pt>
                <c:pt idx="74">
                  <c:v>0.68318950970124359</c:v>
                </c:pt>
                <c:pt idx="75">
                  <c:v>0.68675010027944738</c:v>
                </c:pt>
                <c:pt idx="76">
                  <c:v>0.69030513645795433</c:v>
                </c:pt>
                <c:pt idx="77">
                  <c:v>0.69378280775344447</c:v>
                </c:pt>
                <c:pt idx="78">
                  <c:v>0.69725224689092546</c:v>
                </c:pt>
                <c:pt idx="79">
                  <c:v>0.70068493669243637</c:v>
                </c:pt>
                <c:pt idx="80">
                  <c:v>0.70404688458577747</c:v>
                </c:pt>
                <c:pt idx="81">
                  <c:v>0.70738918245236537</c:v>
                </c:pt>
                <c:pt idx="82">
                  <c:v>0.71070648172805562</c:v>
                </c:pt>
                <c:pt idx="83">
                  <c:v>0.71382945075278514</c:v>
                </c:pt>
                <c:pt idx="84">
                  <c:v>0.71690939003436227</c:v>
                </c:pt>
                <c:pt idx="85">
                  <c:v>0.71993833856150846</c:v>
                </c:pt>
                <c:pt idx="86">
                  <c:v>0.72295897423973787</c:v>
                </c:pt>
                <c:pt idx="87">
                  <c:v>0.72597139545718092</c:v>
                </c:pt>
                <c:pt idx="88">
                  <c:v>0.72895782092950967</c:v>
                </c:pt>
                <c:pt idx="89">
                  <c:v>0.73192186131148096</c:v>
                </c:pt>
                <c:pt idx="90">
                  <c:v>0.73487843114805529</c:v>
                </c:pt>
                <c:pt idx="91">
                  <c:v>0.73782020652796487</c:v>
                </c:pt>
                <c:pt idx="92">
                  <c:v>0.74075869485947243</c:v>
                </c:pt>
                <c:pt idx="93">
                  <c:v>0.74365522033752807</c:v>
                </c:pt>
                <c:pt idx="94">
                  <c:v>0.74652617543585365</c:v>
                </c:pt>
                <c:pt idx="95">
                  <c:v>0.74939160562985341</c:v>
                </c:pt>
                <c:pt idx="96">
                  <c:v>0.75218774108498665</c:v>
                </c:pt>
                <c:pt idx="97">
                  <c:v>0.75485870282114498</c:v>
                </c:pt>
                <c:pt idx="98">
                  <c:v>0.75749909070926813</c:v>
                </c:pt>
                <c:pt idx="99">
                  <c:v>0.76012810539306608</c:v>
                </c:pt>
                <c:pt idx="100">
                  <c:v>0.76268074307808975</c:v>
                </c:pt>
                <c:pt idx="101">
                  <c:v>0.76515168132466627</c:v>
                </c:pt>
                <c:pt idx="102">
                  <c:v>0.76759785862876195</c:v>
                </c:pt>
                <c:pt idx="103">
                  <c:v>0.77000726510740314</c:v>
                </c:pt>
                <c:pt idx="104">
                  <c:v>0.77241241898560886</c:v>
                </c:pt>
                <c:pt idx="105">
                  <c:v>0.77479860565489711</c:v>
                </c:pt>
                <c:pt idx="106">
                  <c:v>0.777102590200346</c:v>
                </c:pt>
                <c:pt idx="107">
                  <c:v>0.77939595304138298</c:v>
                </c:pt>
                <c:pt idx="108">
                  <c:v>0.78163822126214744</c:v>
                </c:pt>
                <c:pt idx="109">
                  <c:v>0.78383902215169043</c:v>
                </c:pt>
                <c:pt idx="110">
                  <c:v>0.78601227773574267</c:v>
                </c:pt>
                <c:pt idx="111">
                  <c:v>0.78809646488429896</c:v>
                </c:pt>
                <c:pt idx="112">
                  <c:v>0.79017585861372674</c:v>
                </c:pt>
                <c:pt idx="113">
                  <c:v>0.79223880045732842</c:v>
                </c:pt>
                <c:pt idx="114">
                  <c:v>0.79428880520990497</c:v>
                </c:pt>
                <c:pt idx="115">
                  <c:v>0.79633398494117014</c:v>
                </c:pt>
                <c:pt idx="116">
                  <c:v>0.79834478149725263</c:v>
                </c:pt>
                <c:pt idx="117">
                  <c:v>0.80033741080101162</c:v>
                </c:pt>
                <c:pt idx="118">
                  <c:v>0.80231277962442016</c:v>
                </c:pt>
                <c:pt idx="119">
                  <c:v>0.8042779051268889</c:v>
                </c:pt>
                <c:pt idx="120">
                  <c:v>0.80618711709752888</c:v>
                </c:pt>
                <c:pt idx="121">
                  <c:v>0.8080757891239404</c:v>
                </c:pt>
                <c:pt idx="122">
                  <c:v>0.80995901946510807</c:v>
                </c:pt>
                <c:pt idx="123">
                  <c:v>0.81181113619295364</c:v>
                </c:pt>
                <c:pt idx="124">
                  <c:v>0.81365582430096506</c:v>
                </c:pt>
                <c:pt idx="125">
                  <c:v>0.81546486051148404</c:v>
                </c:pt>
                <c:pt idx="126">
                  <c:v>0.81726706348729783</c:v>
                </c:pt>
                <c:pt idx="127">
                  <c:v>0.81906565622971739</c:v>
                </c:pt>
                <c:pt idx="128">
                  <c:v>0.82085676304701083</c:v>
                </c:pt>
                <c:pt idx="129">
                  <c:v>0.82264541311059225</c:v>
                </c:pt>
                <c:pt idx="130">
                  <c:v>0.82443358324235338</c:v>
                </c:pt>
                <c:pt idx="131">
                  <c:v>0.82622092918918</c:v>
                </c:pt>
                <c:pt idx="132">
                  <c:v>0.82795498100379217</c:v>
                </c:pt>
                <c:pt idx="133">
                  <c:v>0.82968329091242132</c:v>
                </c:pt>
                <c:pt idx="134">
                  <c:v>0.83136748048656006</c:v>
                </c:pt>
                <c:pt idx="135">
                  <c:v>0.83304970282480262</c:v>
                </c:pt>
                <c:pt idx="136">
                  <c:v>0.83470482049732697</c:v>
                </c:pt>
                <c:pt idx="137">
                  <c:v>0.83633678419837976</c:v>
                </c:pt>
                <c:pt idx="138">
                  <c:v>0.83796775243066579</c:v>
                </c:pt>
                <c:pt idx="139">
                  <c:v>0.83958675028270702</c:v>
                </c:pt>
                <c:pt idx="140">
                  <c:v>0.84119088046635937</c:v>
                </c:pt>
                <c:pt idx="141">
                  <c:v>0.84274613682048427</c:v>
                </c:pt>
                <c:pt idx="142">
                  <c:v>0.84429377030668973</c:v>
                </c:pt>
                <c:pt idx="143">
                  <c:v>0.84583704079550015</c:v>
                </c:pt>
                <c:pt idx="144">
                  <c:v>0.84733817588293903</c:v>
                </c:pt>
                <c:pt idx="145">
                  <c:v>0.84882542528715765</c:v>
                </c:pt>
                <c:pt idx="146">
                  <c:v>0.8503110970050568</c:v>
                </c:pt>
                <c:pt idx="147">
                  <c:v>0.8517821890557955</c:v>
                </c:pt>
                <c:pt idx="148">
                  <c:v>0.85324564412297288</c:v>
                </c:pt>
                <c:pt idx="149">
                  <c:v>0.85469353553634964</c:v>
                </c:pt>
                <c:pt idx="150">
                  <c:v>0.85613769641735527</c:v>
                </c:pt>
                <c:pt idx="151">
                  <c:v>0.85757937568426479</c:v>
                </c:pt>
                <c:pt idx="152">
                  <c:v>0.85901989704718662</c:v>
                </c:pt>
                <c:pt idx="153">
                  <c:v>0.86045364953851611</c:v>
                </c:pt>
                <c:pt idx="154">
                  <c:v>0.86186638204845623</c:v>
                </c:pt>
                <c:pt idx="155">
                  <c:v>0.86327107706983497</c:v>
                </c:pt>
                <c:pt idx="156">
                  <c:v>0.86466527026441642</c:v>
                </c:pt>
                <c:pt idx="157">
                  <c:v>0.86603045002142209</c:v>
                </c:pt>
                <c:pt idx="158">
                  <c:v>0.86738248137413876</c:v>
                </c:pt>
                <c:pt idx="159">
                  <c:v>0.86870759630480776</c:v>
                </c:pt>
                <c:pt idx="160">
                  <c:v>0.87003070460219223</c:v>
                </c:pt>
                <c:pt idx="161">
                  <c:v>0.87134306331166411</c:v>
                </c:pt>
                <c:pt idx="162">
                  <c:v>0.87265445962932076</c:v>
                </c:pt>
                <c:pt idx="163">
                  <c:v>0.87394128830451634</c:v>
                </c:pt>
                <c:pt idx="164">
                  <c:v>0.87521588651350057</c:v>
                </c:pt>
                <c:pt idx="165">
                  <c:v>0.87645202402296085</c:v>
                </c:pt>
                <c:pt idx="166">
                  <c:v>0.87768156563011079</c:v>
                </c:pt>
                <c:pt idx="167">
                  <c:v>0.87890468388287013</c:v>
                </c:pt>
                <c:pt idx="168">
                  <c:v>0.88012685101525956</c:v>
                </c:pt>
                <c:pt idx="169">
                  <c:v>0.8813444088639073</c:v>
                </c:pt>
                <c:pt idx="170">
                  <c:v>0.8825615203843894</c:v>
                </c:pt>
                <c:pt idx="171">
                  <c:v>0.88376839427232468</c:v>
                </c:pt>
                <c:pt idx="172">
                  <c:v>0.88496742966011122</c:v>
                </c:pt>
                <c:pt idx="173">
                  <c:v>0.88616334075073866</c:v>
                </c:pt>
                <c:pt idx="174">
                  <c:v>0.88734574117071841</c:v>
                </c:pt>
                <c:pt idx="175">
                  <c:v>0.88851784401934397</c:v>
                </c:pt>
                <c:pt idx="176">
                  <c:v>0.88967981373330807</c:v>
                </c:pt>
                <c:pt idx="177">
                  <c:v>0.89083674005487556</c:v>
                </c:pt>
                <c:pt idx="178">
                  <c:v>0.8919852978023437</c:v>
                </c:pt>
                <c:pt idx="179">
                  <c:v>0.89313310657807299</c:v>
                </c:pt>
                <c:pt idx="180">
                  <c:v>0.89425920791959057</c:v>
                </c:pt>
                <c:pt idx="181">
                  <c:v>0.89537966669132052</c:v>
                </c:pt>
                <c:pt idx="182">
                  <c:v>0.8964989962117087</c:v>
                </c:pt>
                <c:pt idx="183">
                  <c:v>0.89761383137496098</c:v>
                </c:pt>
                <c:pt idx="184">
                  <c:v>0.8987206491697084</c:v>
                </c:pt>
                <c:pt idx="185">
                  <c:v>0.89981869114355717</c:v>
                </c:pt>
                <c:pt idx="186">
                  <c:v>0.90091551485324861</c:v>
                </c:pt>
                <c:pt idx="187">
                  <c:v>0.90200269589415971</c:v>
                </c:pt>
                <c:pt idx="188">
                  <c:v>0.90308182585757069</c:v>
                </c:pt>
                <c:pt idx="189">
                  <c:v>0.90413953670402014</c:v>
                </c:pt>
                <c:pt idx="190">
                  <c:v>0.90518358866558324</c:v>
                </c:pt>
                <c:pt idx="191">
                  <c:v>0.9062177844329492</c:v>
                </c:pt>
                <c:pt idx="192">
                  <c:v>0.90724892637602417</c:v>
                </c:pt>
                <c:pt idx="193">
                  <c:v>0.90826482785029072</c:v>
                </c:pt>
                <c:pt idx="194">
                  <c:v>0.90925497185990345</c:v>
                </c:pt>
                <c:pt idx="195">
                  <c:v>0.91024424048904518</c:v>
                </c:pt>
                <c:pt idx="196">
                  <c:v>0.9112270069690197</c:v>
                </c:pt>
                <c:pt idx="197">
                  <c:v>0.91219374271492781</c:v>
                </c:pt>
                <c:pt idx="198">
                  <c:v>0.91315567619309623</c:v>
                </c:pt>
                <c:pt idx="199">
                  <c:v>0.91411070111802306</c:v>
                </c:pt>
                <c:pt idx="200">
                  <c:v>0.91505585457436434</c:v>
                </c:pt>
                <c:pt idx="201">
                  <c:v>0.91599283022845135</c:v>
                </c:pt>
                <c:pt idx="202">
                  <c:v>0.91692506871529578</c:v>
                </c:pt>
                <c:pt idx="203">
                  <c:v>0.91784918059542253</c:v>
                </c:pt>
                <c:pt idx="204">
                  <c:v>0.91876929364064397</c:v>
                </c:pt>
                <c:pt idx="205">
                  <c:v>0.91968411595371591</c:v>
                </c:pt>
                <c:pt idx="206">
                  <c:v>0.92059755114163233</c:v>
                </c:pt>
                <c:pt idx="207">
                  <c:v>0.92149995790504069</c:v>
                </c:pt>
                <c:pt idx="208">
                  <c:v>0.92239945463409123</c:v>
                </c:pt>
                <c:pt idx="209">
                  <c:v>0.92329834797212629</c:v>
                </c:pt>
                <c:pt idx="210">
                  <c:v>0.92418924227092258</c:v>
                </c:pt>
                <c:pt idx="211">
                  <c:v>0.92507445597197113</c:v>
                </c:pt>
                <c:pt idx="212">
                  <c:v>0.92595040986468724</c:v>
                </c:pt>
                <c:pt idx="213">
                  <c:v>0.9268250135014614</c:v>
                </c:pt>
                <c:pt idx="214">
                  <c:v>0.9276773461317589</c:v>
                </c:pt>
                <c:pt idx="215">
                  <c:v>0.92852081024142075</c:v>
                </c:pt>
                <c:pt idx="216">
                  <c:v>0.92935742331381443</c:v>
                </c:pt>
                <c:pt idx="217">
                  <c:v>0.93019154228924972</c:v>
                </c:pt>
                <c:pt idx="218">
                  <c:v>0.93101309913356223</c:v>
                </c:pt>
                <c:pt idx="219">
                  <c:v>0.93181827182606081</c:v>
                </c:pt>
                <c:pt idx="220">
                  <c:v>0.93262018559610038</c:v>
                </c:pt>
                <c:pt idx="221">
                  <c:v>0.93341630842410295</c:v>
                </c:pt>
                <c:pt idx="222">
                  <c:v>0.93419762289048014</c:v>
                </c:pt>
                <c:pt idx="223">
                  <c:v>0.93497766189274856</c:v>
                </c:pt>
                <c:pt idx="224">
                  <c:v>0.93575431935608766</c:v>
                </c:pt>
                <c:pt idx="225">
                  <c:v>0.93651633837220583</c:v>
                </c:pt>
                <c:pt idx="226">
                  <c:v>0.93727762247955659</c:v>
                </c:pt>
                <c:pt idx="227">
                  <c:v>0.93802746749203036</c:v>
                </c:pt>
                <c:pt idx="228">
                  <c:v>0.93877390463042221</c:v>
                </c:pt>
                <c:pt idx="229">
                  <c:v>0.93951925707655048</c:v>
                </c:pt>
                <c:pt idx="230">
                  <c:v>0.94026229961377727</c:v>
                </c:pt>
                <c:pt idx="231">
                  <c:v>0.94099122118953094</c:v>
                </c:pt>
                <c:pt idx="232">
                  <c:v>0.94171871777017968</c:v>
                </c:pt>
                <c:pt idx="233">
                  <c:v>0.94243369556736667</c:v>
                </c:pt>
                <c:pt idx="234">
                  <c:v>0.943146753531932</c:v>
                </c:pt>
                <c:pt idx="235">
                  <c:v>0.94385671427187501</c:v>
                </c:pt>
                <c:pt idx="236">
                  <c:v>0.94455707490064433</c:v>
                </c:pt>
                <c:pt idx="237">
                  <c:v>0.94525509728388812</c:v>
                </c:pt>
                <c:pt idx="238">
                  <c:v>0.94593415951603521</c:v>
                </c:pt>
                <c:pt idx="239">
                  <c:v>0.94661016255152031</c:v>
                </c:pt>
                <c:pt idx="240">
                  <c:v>0.94728408052763657</c:v>
                </c:pt>
                <c:pt idx="241">
                  <c:v>0.94795607925050451</c:v>
                </c:pt>
                <c:pt idx="242">
                  <c:v>0.94862734611948285</c:v>
                </c:pt>
                <c:pt idx="243">
                  <c:v>0.94928730146106322</c:v>
                </c:pt>
                <c:pt idx="244">
                  <c:v>0.94994673078430625</c:v>
                </c:pt>
                <c:pt idx="245">
                  <c:v>0.95059655715217917</c:v>
                </c:pt>
                <c:pt idx="246">
                  <c:v>0.95123643952445625</c:v>
                </c:pt>
                <c:pt idx="247">
                  <c:v>0.95184961631391707</c:v>
                </c:pt>
                <c:pt idx="248">
                  <c:v>0.95245696181588702</c:v>
                </c:pt>
                <c:pt idx="249">
                  <c:v>0.9530582513915149</c:v>
                </c:pt>
                <c:pt idx="250">
                  <c:v>0.95364694723383692</c:v>
                </c:pt>
                <c:pt idx="251">
                  <c:v>0.9542345594899716</c:v>
                </c:pt>
                <c:pt idx="252">
                  <c:v>0.95481979373450043</c:v>
                </c:pt>
                <c:pt idx="253">
                  <c:v>0.95540113590683251</c:v>
                </c:pt>
                <c:pt idx="254">
                  <c:v>0.95598046312397178</c:v>
                </c:pt>
                <c:pt idx="255">
                  <c:v>0.95654615747535543</c:v>
                </c:pt>
                <c:pt idx="256">
                  <c:v>0.95709573629348133</c:v>
                </c:pt>
                <c:pt idx="257">
                  <c:v>0.95764217448665356</c:v>
                </c:pt>
                <c:pt idx="258">
                  <c:v>0.95817877154933584</c:v>
                </c:pt>
                <c:pt idx="259">
                  <c:v>0.95870792671926697</c:v>
                </c:pt>
                <c:pt idx="260">
                  <c:v>0.95923258495121722</c:v>
                </c:pt>
                <c:pt idx="261">
                  <c:v>0.95975655178007224</c:v>
                </c:pt>
                <c:pt idx="262">
                  <c:v>0.96026155524494183</c:v>
                </c:pt>
                <c:pt idx="263">
                  <c:v>0.96075509996891062</c:v>
                </c:pt>
                <c:pt idx="264">
                  <c:v>0.96123929007799791</c:v>
                </c:pt>
                <c:pt idx="265">
                  <c:v>0.96171971204811624</c:v>
                </c:pt>
                <c:pt idx="266">
                  <c:v>0.96220012095599894</c:v>
                </c:pt>
                <c:pt idx="267">
                  <c:v>0.96267826303928972</c:v>
                </c:pt>
                <c:pt idx="268">
                  <c:v>0.96315510047912278</c:v>
                </c:pt>
                <c:pt idx="269">
                  <c:v>0.96362433237956679</c:v>
                </c:pt>
                <c:pt idx="270">
                  <c:v>0.96408632780144954</c:v>
                </c:pt>
                <c:pt idx="271">
                  <c:v>0.96454608262855246</c:v>
                </c:pt>
                <c:pt idx="272">
                  <c:v>0.96498615229780882</c:v>
                </c:pt>
                <c:pt idx="273">
                  <c:v>0.96542013159434337</c:v>
                </c:pt>
                <c:pt idx="274">
                  <c:v>0.96585218800337858</c:v>
                </c:pt>
                <c:pt idx="275">
                  <c:v>0.96627827418065815</c:v>
                </c:pt>
                <c:pt idx="276">
                  <c:v>0.96670304188852474</c:v>
                </c:pt>
                <c:pt idx="277">
                  <c:v>0.96712485705709716</c:v>
                </c:pt>
                <c:pt idx="278">
                  <c:v>0.96754443647655786</c:v>
                </c:pt>
                <c:pt idx="279">
                  <c:v>0.96796263056165321</c:v>
                </c:pt>
                <c:pt idx="280">
                  <c:v>0.96837921393614768</c:v>
                </c:pt>
                <c:pt idx="281">
                  <c:v>0.96879360872778864</c:v>
                </c:pt>
                <c:pt idx="282">
                  <c:v>0.96920714233360583</c:v>
                </c:pt>
                <c:pt idx="283">
                  <c:v>0.9696157097880288</c:v>
                </c:pt>
                <c:pt idx="284">
                  <c:v>0.97002271949184282</c:v>
                </c:pt>
                <c:pt idx="285">
                  <c:v>0.97042589208492325</c:v>
                </c:pt>
                <c:pt idx="286">
                  <c:v>0.97082578055280366</c:v>
                </c:pt>
                <c:pt idx="287">
                  <c:v>0.97122152995109134</c:v>
                </c:pt>
                <c:pt idx="288">
                  <c:v>0.97161469250001331</c:v>
                </c:pt>
                <c:pt idx="289">
                  <c:v>0.97200662361720158</c:v>
                </c:pt>
                <c:pt idx="290">
                  <c:v>0.97239607738658851</c:v>
                </c:pt>
                <c:pt idx="291">
                  <c:v>0.97278110558625797</c:v>
                </c:pt>
                <c:pt idx="292">
                  <c:v>0.97315470598883091</c:v>
                </c:pt>
                <c:pt idx="293">
                  <c:v>0.973527390665479</c:v>
                </c:pt>
                <c:pt idx="294">
                  <c:v>0.9738949197093103</c:v>
                </c:pt>
                <c:pt idx="295">
                  <c:v>0.97425761290808244</c:v>
                </c:pt>
                <c:pt idx="296">
                  <c:v>0.97462023152570254</c:v>
                </c:pt>
                <c:pt idx="297">
                  <c:v>0.97498188393291041</c:v>
                </c:pt>
                <c:pt idx="298">
                  <c:v>0.97534311724250033</c:v>
                </c:pt>
                <c:pt idx="299">
                  <c:v>0.97570210790316858</c:v>
                </c:pt>
                <c:pt idx="300">
                  <c:v>0.97605878657445844</c:v>
                </c:pt>
                <c:pt idx="301">
                  <c:v>0.97639952334015134</c:v>
                </c:pt>
                <c:pt idx="302">
                  <c:v>0.97673276412068977</c:v>
                </c:pt>
                <c:pt idx="303">
                  <c:v>0.97706574470992091</c:v>
                </c:pt>
                <c:pt idx="304">
                  <c:v>0.97739823736144549</c:v>
                </c:pt>
                <c:pt idx="305">
                  <c:v>0.97773043519093705</c:v>
                </c:pt>
                <c:pt idx="306">
                  <c:v>0.97806158266920395</c:v>
                </c:pt>
                <c:pt idx="307">
                  <c:v>0.97838616824384261</c:v>
                </c:pt>
                <c:pt idx="308">
                  <c:v>0.97870609241747253</c:v>
                </c:pt>
                <c:pt idx="309">
                  <c:v>0.9790205994502208</c:v>
                </c:pt>
                <c:pt idx="310">
                  <c:v>0.97933441089258455</c:v>
                </c:pt>
                <c:pt idx="311">
                  <c:v>0.97964462284629639</c:v>
                </c:pt>
                <c:pt idx="312">
                  <c:v>0.97995257250506262</c:v>
                </c:pt>
                <c:pt idx="313">
                  <c:v>0.98025919932278061</c:v>
                </c:pt>
                <c:pt idx="314">
                  <c:v>0.98056360419100674</c:v>
                </c:pt>
                <c:pt idx="315">
                  <c:v>0.98086737796363699</c:v>
                </c:pt>
                <c:pt idx="316">
                  <c:v>0.98117109935564883</c:v>
                </c:pt>
                <c:pt idx="317">
                  <c:v>0.98147452068493235</c:v>
                </c:pt>
                <c:pt idx="318">
                  <c:v>0.98177622261844033</c:v>
                </c:pt>
                <c:pt idx="319">
                  <c:v>0.98207687915173225</c:v>
                </c:pt>
                <c:pt idx="320">
                  <c:v>0.98237674757924875</c:v>
                </c:pt>
                <c:pt idx="321">
                  <c:v>0.98267625613690546</c:v>
                </c:pt>
                <c:pt idx="322">
                  <c:v>0.98297555259124347</c:v>
                </c:pt>
                <c:pt idx="323">
                  <c:v>0.98327199162885837</c:v>
                </c:pt>
                <c:pt idx="324">
                  <c:v>0.98356420577061832</c:v>
                </c:pt>
                <c:pt idx="325">
                  <c:v>0.98385169209411483</c:v>
                </c:pt>
                <c:pt idx="326">
                  <c:v>0.98413497664402039</c:v>
                </c:pt>
                <c:pt idx="327">
                  <c:v>0.98441755409507969</c:v>
                </c:pt>
                <c:pt idx="328">
                  <c:v>0.98469686588188099</c:v>
                </c:pt>
                <c:pt idx="329">
                  <c:v>0.98497259018885985</c:v>
                </c:pt>
                <c:pt idx="330">
                  <c:v>0.98524381668879779</c:v>
                </c:pt>
                <c:pt idx="331">
                  <c:v>0.98551225779865481</c:v>
                </c:pt>
                <c:pt idx="332">
                  <c:v>0.98578003334020126</c:v>
                </c:pt>
                <c:pt idx="333">
                  <c:v>0.98604562862080236</c:v>
                </c:pt>
                <c:pt idx="334">
                  <c:v>0.98630153585715541</c:v>
                </c:pt>
                <c:pt idx="335">
                  <c:v>0.98655415938967084</c:v>
                </c:pt>
                <c:pt idx="336">
                  <c:v>0.98679717106553444</c:v>
                </c:pt>
                <c:pt idx="337">
                  <c:v>0.98703854722308348</c:v>
                </c:pt>
                <c:pt idx="338">
                  <c:v>0.98727750412817772</c:v>
                </c:pt>
                <c:pt idx="339">
                  <c:v>0.98751584068241827</c:v>
                </c:pt>
                <c:pt idx="340">
                  <c:v>0.98775094154180432</c:v>
                </c:pt>
                <c:pt idx="341">
                  <c:v>0.98798504456225988</c:v>
                </c:pt>
                <c:pt idx="342">
                  <c:v>0.98821378029427753</c:v>
                </c:pt>
                <c:pt idx="343">
                  <c:v>0.98843987018618784</c:v>
                </c:pt>
                <c:pt idx="344">
                  <c:v>0.98866553028840831</c:v>
                </c:pt>
                <c:pt idx="345">
                  <c:v>0.98888584407813995</c:v>
                </c:pt>
                <c:pt idx="346">
                  <c:v>0.98910406851587285</c:v>
                </c:pt>
                <c:pt idx="347">
                  <c:v>0.98932209258259762</c:v>
                </c:pt>
                <c:pt idx="348">
                  <c:v>0.98953973486861568</c:v>
                </c:pt>
                <c:pt idx="349">
                  <c:v>0.98975220598407698</c:v>
                </c:pt>
                <c:pt idx="350">
                  <c:v>0.9899627813504136</c:v>
                </c:pt>
                <c:pt idx="351">
                  <c:v>0.99017104824311475</c:v>
                </c:pt>
                <c:pt idx="352">
                  <c:v>0.99037929265876312</c:v>
                </c:pt>
                <c:pt idx="353">
                  <c:v>0.9905833695496864</c:v>
                </c:pt>
                <c:pt idx="354">
                  <c:v>0.990786451406373</c:v>
                </c:pt>
                <c:pt idx="355">
                  <c:v>0.9909894579445232</c:v>
                </c:pt>
                <c:pt idx="356">
                  <c:v>0.9911919168300084</c:v>
                </c:pt>
                <c:pt idx="357">
                  <c:v>0.9913915233024494</c:v>
                </c:pt>
                <c:pt idx="358">
                  <c:v>0.99159034405244628</c:v>
                </c:pt>
                <c:pt idx="359">
                  <c:v>0.99178875290748947</c:v>
                </c:pt>
                <c:pt idx="360">
                  <c:v>0.99198688939121737</c:v>
                </c:pt>
                <c:pt idx="361">
                  <c:v>0.99218291378254231</c:v>
                </c:pt>
                <c:pt idx="362">
                  <c:v>0.99237770844075091</c:v>
                </c:pt>
                <c:pt idx="363">
                  <c:v>0.99256984052286257</c:v>
                </c:pt>
                <c:pt idx="364">
                  <c:v>0.99275948763314625</c:v>
                </c:pt>
                <c:pt idx="365">
                  <c:v>0.99294840319239452</c:v>
                </c:pt>
                <c:pt idx="366">
                  <c:v>0.99313655468986162</c:v>
                </c:pt>
                <c:pt idx="367">
                  <c:v>0.9933225308642244</c:v>
                </c:pt>
                <c:pt idx="368">
                  <c:v>0.99350540775982299</c:v>
                </c:pt>
                <c:pt idx="369">
                  <c:v>0.99368633499823977</c:v>
                </c:pt>
                <c:pt idx="370">
                  <c:v>0.9938664065285443</c:v>
                </c:pt>
                <c:pt idx="371">
                  <c:v>0.99404515702175855</c:v>
                </c:pt>
                <c:pt idx="372">
                  <c:v>0.99422332560027427</c:v>
                </c:pt>
                <c:pt idx="373">
                  <c:v>0.99439989438410981</c:v>
                </c:pt>
                <c:pt idx="374">
                  <c:v>0.99457340378693737</c:v>
                </c:pt>
                <c:pt idx="375">
                  <c:v>0.99474474651775824</c:v>
                </c:pt>
                <c:pt idx="376">
                  <c:v>0.99491430836022232</c:v>
                </c:pt>
                <c:pt idx="377">
                  <c:v>0.99508177389820751</c:v>
                </c:pt>
                <c:pt idx="378">
                  <c:v>0.99524242729594481</c:v>
                </c:pt>
                <c:pt idx="379">
                  <c:v>0.99540128912642101</c:v>
                </c:pt>
                <c:pt idx="380">
                  <c:v>0.99556004071794857</c:v>
                </c:pt>
                <c:pt idx="381">
                  <c:v>0.9957115031342747</c:v>
                </c:pt>
                <c:pt idx="382">
                  <c:v>0.9958559146953625</c:v>
                </c:pt>
                <c:pt idx="383">
                  <c:v>0.99599886005999916</c:v>
                </c:pt>
                <c:pt idx="384">
                  <c:v>0.99613983031452891</c:v>
                </c:pt>
                <c:pt idx="385">
                  <c:v>0.99627994914040874</c:v>
                </c:pt>
                <c:pt idx="386">
                  <c:v>0.99641852089458394</c:v>
                </c:pt>
                <c:pt idx="387">
                  <c:v>0.996548672510431</c:v>
                </c:pt>
                <c:pt idx="388">
                  <c:v>0.99667677160399026</c:v>
                </c:pt>
                <c:pt idx="389">
                  <c:v>0.9968044756044232</c:v>
                </c:pt>
                <c:pt idx="390">
                  <c:v>0.99693126730250115</c:v>
                </c:pt>
                <c:pt idx="391">
                  <c:v>0.99705378602990313</c:v>
                </c:pt>
                <c:pt idx="392">
                  <c:v>0.99717319026999041</c:v>
                </c:pt>
                <c:pt idx="393">
                  <c:v>0.99729242356860237</c:v>
                </c:pt>
                <c:pt idx="394">
                  <c:v>0.99741001417257058</c:v>
                </c:pt>
                <c:pt idx="395">
                  <c:v>0.99752554352414791</c:v>
                </c:pt>
                <c:pt idx="396">
                  <c:v>0.99763549774367966</c:v>
                </c:pt>
                <c:pt idx="397">
                  <c:v>0.99773989710923316</c:v>
                </c:pt>
                <c:pt idx="398">
                  <c:v>0.99784305353459135</c:v>
                </c:pt>
                <c:pt idx="399">
                  <c:v>0.99794436202229431</c:v>
                </c:pt>
                <c:pt idx="400">
                  <c:v>0.99804556702601532</c:v>
                </c:pt>
                <c:pt idx="401">
                  <c:v>0.99814660811316303</c:v>
                </c:pt>
                <c:pt idx="402">
                  <c:v>0.99824717916392403</c:v>
                </c:pt>
                <c:pt idx="403">
                  <c:v>0.99834351627270512</c:v>
                </c:pt>
                <c:pt idx="404">
                  <c:v>0.99843731035381444</c:v>
                </c:pt>
                <c:pt idx="405">
                  <c:v>0.99853099732985828</c:v>
                </c:pt>
                <c:pt idx="406">
                  <c:v>0.99862441380438272</c:v>
                </c:pt>
                <c:pt idx="407">
                  <c:v>0.9987106217748617</c:v>
                </c:pt>
                <c:pt idx="408">
                  <c:v>0.99878563286144562</c:v>
                </c:pt>
                <c:pt idx="409">
                  <c:v>0.99885355578246371</c:v>
                </c:pt>
                <c:pt idx="410">
                  <c:v>0.99892083173437274</c:v>
                </c:pt>
                <c:pt idx="411">
                  <c:v>0.99898581029974554</c:v>
                </c:pt>
                <c:pt idx="412">
                  <c:v>0.99905030061138977</c:v>
                </c:pt>
                <c:pt idx="413">
                  <c:v>0.99911056934540821</c:v>
                </c:pt>
                <c:pt idx="414">
                  <c:v>0.99917038576659778</c:v>
                </c:pt>
                <c:pt idx="415">
                  <c:v>0.99922962516484326</c:v>
                </c:pt>
                <c:pt idx="416">
                  <c:v>0.99928826371341561</c:v>
                </c:pt>
                <c:pt idx="417">
                  <c:v>0.99934680760686578</c:v>
                </c:pt>
                <c:pt idx="418">
                  <c:v>0.99939833423556479</c:v>
                </c:pt>
                <c:pt idx="419">
                  <c:v>0.99944956760588055</c:v>
                </c:pt>
                <c:pt idx="420">
                  <c:v>0.99949971137571858</c:v>
                </c:pt>
                <c:pt idx="421">
                  <c:v>0.99954641661406529</c:v>
                </c:pt>
                <c:pt idx="422">
                  <c:v>0.99958945415242295</c:v>
                </c:pt>
                <c:pt idx="423">
                  <c:v>0.99962917072270219</c:v>
                </c:pt>
                <c:pt idx="424">
                  <c:v>0.9996687215856177</c:v>
                </c:pt>
                <c:pt idx="425">
                  <c:v>0.99970734689301277</c:v>
                </c:pt>
                <c:pt idx="426">
                  <c:v>0.99974090112318215</c:v>
                </c:pt>
                <c:pt idx="427">
                  <c:v>0.99977234112450941</c:v>
                </c:pt>
                <c:pt idx="428">
                  <c:v>0.99980302074768479</c:v>
                </c:pt>
                <c:pt idx="429">
                  <c:v>0.99983018409799851</c:v>
                </c:pt>
                <c:pt idx="430">
                  <c:v>0.99985528894465281</c:v>
                </c:pt>
                <c:pt idx="431">
                  <c:v>0.99988001627854117</c:v>
                </c:pt>
                <c:pt idx="432">
                  <c:v>0.99989930844842789</c:v>
                </c:pt>
                <c:pt idx="433">
                  <c:v>0.99991580619527631</c:v>
                </c:pt>
                <c:pt idx="434">
                  <c:v>0.999928235915721</c:v>
                </c:pt>
                <c:pt idx="435">
                  <c:v>0.99993922921325029</c:v>
                </c:pt>
                <c:pt idx="436">
                  <c:v>0.99994922875955861</c:v>
                </c:pt>
                <c:pt idx="437">
                  <c:v>0.99995793817554701</c:v>
                </c:pt>
                <c:pt idx="438">
                  <c:v>0.99996575884679739</c:v>
                </c:pt>
                <c:pt idx="439">
                  <c:v>0.99997203183528516</c:v>
                </c:pt>
                <c:pt idx="440">
                  <c:v>0.99997803485595183</c:v>
                </c:pt>
                <c:pt idx="441">
                  <c:v>0.99998390010591376</c:v>
                </c:pt>
                <c:pt idx="442">
                  <c:v>0.99998866752360538</c:v>
                </c:pt>
                <c:pt idx="443">
                  <c:v>0.99999334757237091</c:v>
                </c:pt>
                <c:pt idx="444">
                  <c:v>0.99999558555955914</c:v>
                </c:pt>
                <c:pt idx="445">
                  <c:v>0.99999745719041611</c:v>
                </c:pt>
                <c:pt idx="446">
                  <c:v>0.99999851138688178</c:v>
                </c:pt>
                <c:pt idx="447">
                  <c:v>0.99999939400386184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56-4895-A446-8428EC8E9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284272"/>
        <c:axId val="1551605568"/>
      </c:scatterChart>
      <c:valAx>
        <c:axId val="166828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Protein 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1605568"/>
        <c:crosses val="autoZero"/>
        <c:crossBetween val="midCat"/>
        <c:minorUnit val="100"/>
      </c:valAx>
      <c:valAx>
        <c:axId val="15516055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Cumulative protein abundance,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68284272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iBAQ!$E$1</c:f>
              <c:strCache>
                <c:ptCount val="1"/>
                <c:pt idx="0">
                  <c:v>Log10_MedianQuantity, iBAQ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37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iBAQ!$A$2:$A$449</c:f>
              <c:numCache>
                <c:formatCode>General</c:formatCode>
                <c:ptCount val="4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</c:numCache>
            </c:numRef>
          </c:xVal>
          <c:yVal>
            <c:numRef>
              <c:f>iBAQ!$E$2:$E$449</c:f>
              <c:numCache>
                <c:formatCode>General</c:formatCode>
                <c:ptCount val="448"/>
                <c:pt idx="0">
                  <c:v>9.0969929893755399</c:v>
                </c:pt>
                <c:pt idx="1">
                  <c:v>8.7675376042089201</c:v>
                </c:pt>
                <c:pt idx="2">
                  <c:v>8.7447037018560501</c:v>
                </c:pt>
                <c:pt idx="3">
                  <c:v>8.7154884864709903</c:v>
                </c:pt>
                <c:pt idx="4">
                  <c:v>8.5105006133903593</c:v>
                </c:pt>
                <c:pt idx="5">
                  <c:v>8.4810556215678101</c:v>
                </c:pt>
                <c:pt idx="6">
                  <c:v>8.4788836196377595</c:v>
                </c:pt>
                <c:pt idx="7">
                  <c:v>8.4385077177601406</c:v>
                </c:pt>
                <c:pt idx="8">
                  <c:v>8.4322274788741094</c:v>
                </c:pt>
                <c:pt idx="9">
                  <c:v>8.3908471094206298</c:v>
                </c:pt>
                <c:pt idx="10">
                  <c:v>8.3838824359687898</c:v>
                </c:pt>
                <c:pt idx="11">
                  <c:v>8.3763108099347097</c:v>
                </c:pt>
                <c:pt idx="12">
                  <c:v>8.3628284454843502</c:v>
                </c:pt>
                <c:pt idx="13">
                  <c:v>8.3485275075044907</c:v>
                </c:pt>
                <c:pt idx="14">
                  <c:v>8.3475653020934004</c:v>
                </c:pt>
                <c:pt idx="15">
                  <c:v>8.3435947982623198</c:v>
                </c:pt>
                <c:pt idx="16">
                  <c:v>8.31056777566317</c:v>
                </c:pt>
                <c:pt idx="17">
                  <c:v>8.2938319843206596</c:v>
                </c:pt>
                <c:pt idx="18">
                  <c:v>8.2821720077199998</c:v>
                </c:pt>
                <c:pt idx="19">
                  <c:v>8.2772498227463807</c:v>
                </c:pt>
                <c:pt idx="20">
                  <c:v>8.2637270549923496</c:v>
                </c:pt>
                <c:pt idx="21">
                  <c:v>8.2426837184182702</c:v>
                </c:pt>
                <c:pt idx="22">
                  <c:v>8.2282121441832192</c:v>
                </c:pt>
                <c:pt idx="23">
                  <c:v>8.2256370710076894</c:v>
                </c:pt>
                <c:pt idx="24">
                  <c:v>8.2250110051371799</c:v>
                </c:pt>
                <c:pt idx="25">
                  <c:v>8.1962407134755395</c:v>
                </c:pt>
                <c:pt idx="26">
                  <c:v>8.18806148111711</c:v>
                </c:pt>
                <c:pt idx="27">
                  <c:v>8.1855810894649697</c:v>
                </c:pt>
                <c:pt idx="28">
                  <c:v>8.1764447582505007</c:v>
                </c:pt>
                <c:pt idx="29">
                  <c:v>8.1751904673463596</c:v>
                </c:pt>
                <c:pt idx="30">
                  <c:v>8.1740989011954301</c:v>
                </c:pt>
                <c:pt idx="31">
                  <c:v>8.1718900568059301</c:v>
                </c:pt>
                <c:pt idx="32">
                  <c:v>8.1718422032960305</c:v>
                </c:pt>
                <c:pt idx="33">
                  <c:v>8.1714786625741596</c:v>
                </c:pt>
                <c:pt idx="34">
                  <c:v>8.1595554996070394</c:v>
                </c:pt>
                <c:pt idx="35">
                  <c:v>8.1446850739755092</c:v>
                </c:pt>
                <c:pt idx="36">
                  <c:v>8.1308175410617007</c:v>
                </c:pt>
                <c:pt idx="37">
                  <c:v>8.1244784272366992</c:v>
                </c:pt>
                <c:pt idx="38">
                  <c:v>8.1237640156651292</c:v>
                </c:pt>
                <c:pt idx="39">
                  <c:v>8.0847937210264895</c:v>
                </c:pt>
                <c:pt idx="40">
                  <c:v>8.0679581872269992</c:v>
                </c:pt>
                <c:pt idx="41">
                  <c:v>8.0676619574744599</c:v>
                </c:pt>
                <c:pt idx="42">
                  <c:v>8.0674860023641504</c:v>
                </c:pt>
                <c:pt idx="43">
                  <c:v>8.0604834952407298</c:v>
                </c:pt>
                <c:pt idx="44">
                  <c:v>8.0602685301779609</c:v>
                </c:pt>
                <c:pt idx="45">
                  <c:v>8.0567842988396592</c:v>
                </c:pt>
                <c:pt idx="46">
                  <c:v>8.0383717364526195</c:v>
                </c:pt>
                <c:pt idx="47">
                  <c:v>8.0370501163401205</c:v>
                </c:pt>
                <c:pt idx="48">
                  <c:v>8.0322420263106107</c:v>
                </c:pt>
                <c:pt idx="49">
                  <c:v>8.0212608979873394</c:v>
                </c:pt>
                <c:pt idx="50">
                  <c:v>8.0098981502147808</c:v>
                </c:pt>
                <c:pt idx="51">
                  <c:v>7.9971637448636601</c:v>
                </c:pt>
                <c:pt idx="52">
                  <c:v>7.9959940981228996</c:v>
                </c:pt>
                <c:pt idx="53">
                  <c:v>7.9877855633526602</c:v>
                </c:pt>
                <c:pt idx="54">
                  <c:v>7.97590909543863</c:v>
                </c:pt>
                <c:pt idx="55">
                  <c:v>7.9713438828777301</c:v>
                </c:pt>
                <c:pt idx="56">
                  <c:v>7.9546242505329898</c:v>
                </c:pt>
                <c:pt idx="57">
                  <c:v>7.9365612307883104</c:v>
                </c:pt>
                <c:pt idx="58">
                  <c:v>7.9329832949115699</c:v>
                </c:pt>
                <c:pt idx="59">
                  <c:v>7.9270479825363296</c:v>
                </c:pt>
                <c:pt idx="60">
                  <c:v>7.9028181638858799</c:v>
                </c:pt>
                <c:pt idx="61">
                  <c:v>7.89806872556749</c:v>
                </c:pt>
                <c:pt idx="62">
                  <c:v>7.87874646753726</c:v>
                </c:pt>
                <c:pt idx="63">
                  <c:v>7.8750656642201502</c:v>
                </c:pt>
                <c:pt idx="64">
                  <c:v>7.8749827821833804</c:v>
                </c:pt>
                <c:pt idx="65">
                  <c:v>7.8718515418034896</c:v>
                </c:pt>
                <c:pt idx="66">
                  <c:v>7.8591266198419198</c:v>
                </c:pt>
                <c:pt idx="67">
                  <c:v>7.8574366181144999</c:v>
                </c:pt>
                <c:pt idx="68">
                  <c:v>7.8554902744273001</c:v>
                </c:pt>
                <c:pt idx="69">
                  <c:v>7.8552235167614297</c:v>
                </c:pt>
                <c:pt idx="70">
                  <c:v>7.8493267708076404</c:v>
                </c:pt>
                <c:pt idx="71">
                  <c:v>7.8425355530545202</c:v>
                </c:pt>
                <c:pt idx="72">
                  <c:v>7.8422390829789199</c:v>
                </c:pt>
                <c:pt idx="73">
                  <c:v>7.84202484532035</c:v>
                </c:pt>
                <c:pt idx="74">
                  <c:v>7.8378018970558001</c:v>
                </c:pt>
                <c:pt idx="75">
                  <c:v>7.82995620405993</c:v>
                </c:pt>
                <c:pt idx="76">
                  <c:v>7.8292781905240796</c:v>
                </c:pt>
                <c:pt idx="77">
                  <c:v>7.8197226964688804</c:v>
                </c:pt>
                <c:pt idx="78">
                  <c:v>7.8186934390516001</c:v>
                </c:pt>
                <c:pt idx="79">
                  <c:v>7.8140687254931303</c:v>
                </c:pt>
                <c:pt idx="80">
                  <c:v>7.8050251438023599</c:v>
                </c:pt>
                <c:pt idx="81">
                  <c:v>7.8024793174913496</c:v>
                </c:pt>
                <c:pt idx="82">
                  <c:v>7.7992188196432002</c:v>
                </c:pt>
                <c:pt idx="83">
                  <c:v>7.7730018424423104</c:v>
                </c:pt>
                <c:pt idx="84">
                  <c:v>7.7669763205877</c:v>
                </c:pt>
                <c:pt idx="85">
                  <c:v>7.7597260589072601</c:v>
                </c:pt>
                <c:pt idx="86">
                  <c:v>7.7585325135120398</c:v>
                </c:pt>
                <c:pt idx="87">
                  <c:v>7.7573498635693401</c:v>
                </c:pt>
                <c:pt idx="88">
                  <c:v>7.7535858469472902</c:v>
                </c:pt>
                <c:pt idx="89">
                  <c:v>7.7503182819135699</c:v>
                </c:pt>
                <c:pt idx="90">
                  <c:v>7.7492223075984903</c:v>
                </c:pt>
                <c:pt idx="91">
                  <c:v>7.7470436747343303</c:v>
                </c:pt>
                <c:pt idx="92">
                  <c:v>7.7465581362613998</c:v>
                </c:pt>
                <c:pt idx="93">
                  <c:v>7.7403115186935203</c:v>
                </c:pt>
                <c:pt idx="94">
                  <c:v>7.7364605659482901</c:v>
                </c:pt>
                <c:pt idx="95">
                  <c:v>7.7356239986392801</c:v>
                </c:pt>
                <c:pt idx="96">
                  <c:v>7.7249923721674696</c:v>
                </c:pt>
                <c:pt idx="97">
                  <c:v>7.7051018321758802</c:v>
                </c:pt>
                <c:pt idx="98">
                  <c:v>7.7001018976614102</c:v>
                </c:pt>
                <c:pt idx="99">
                  <c:v>7.69822717752663</c:v>
                </c:pt>
                <c:pt idx="100">
                  <c:v>7.6854233422662599</c:v>
                </c:pt>
                <c:pt idx="101">
                  <c:v>7.6712960574513902</c:v>
                </c:pt>
                <c:pt idx="102">
                  <c:v>7.6669220981768902</c:v>
                </c:pt>
                <c:pt idx="103">
                  <c:v>7.6603442395344299</c:v>
                </c:pt>
                <c:pt idx="104">
                  <c:v>7.6595770328753501</c:v>
                </c:pt>
                <c:pt idx="105">
                  <c:v>7.6561385808940896</c:v>
                </c:pt>
                <c:pt idx="106">
                  <c:v>7.6409137273771401</c:v>
                </c:pt>
                <c:pt idx="107">
                  <c:v>7.6389069371850598</c:v>
                </c:pt>
                <c:pt idx="108">
                  <c:v>7.6291217275510004</c:v>
                </c:pt>
                <c:pt idx="109">
                  <c:v>7.62101491867418</c:v>
                </c:pt>
                <c:pt idx="110">
                  <c:v>7.6155449699475204</c:v>
                </c:pt>
                <c:pt idx="111">
                  <c:v>7.5973708793918702</c:v>
                </c:pt>
                <c:pt idx="112">
                  <c:v>7.5963708957443004</c:v>
                </c:pt>
                <c:pt idx="113">
                  <c:v>7.5929211507037202</c:v>
                </c:pt>
                <c:pt idx="114">
                  <c:v>7.5901890336473103</c:v>
                </c:pt>
                <c:pt idx="115">
                  <c:v>7.5891656457591399</c:v>
                </c:pt>
                <c:pt idx="116">
                  <c:v>7.5818022984895999</c:v>
                </c:pt>
                <c:pt idx="117">
                  <c:v>7.57786067855164</c:v>
                </c:pt>
                <c:pt idx="118">
                  <c:v>7.5740823609155798</c:v>
                </c:pt>
                <c:pt idx="119">
                  <c:v>7.5718244575090203</c:v>
                </c:pt>
                <c:pt idx="120">
                  <c:v>7.5592883144568299</c:v>
                </c:pt>
                <c:pt idx="121">
                  <c:v>7.5545907136785697</c:v>
                </c:pt>
                <c:pt idx="122">
                  <c:v>7.5533376083311996</c:v>
                </c:pt>
                <c:pt idx="123">
                  <c:v>7.5461025199482696</c:v>
                </c:pt>
                <c:pt idx="124">
                  <c:v>7.5443571138000598</c:v>
                </c:pt>
                <c:pt idx="125">
                  <c:v>7.5358814257440301</c:v>
                </c:pt>
                <c:pt idx="126">
                  <c:v>7.5342378682200302</c:v>
                </c:pt>
                <c:pt idx="127">
                  <c:v>7.5333670023950496</c:v>
                </c:pt>
                <c:pt idx="128">
                  <c:v>7.5315556526522602</c:v>
                </c:pt>
                <c:pt idx="129">
                  <c:v>7.5309595480655203</c:v>
                </c:pt>
                <c:pt idx="130">
                  <c:v>7.5308430022337003</c:v>
                </c:pt>
                <c:pt idx="131">
                  <c:v>7.5306427855558198</c:v>
                </c:pt>
                <c:pt idx="132">
                  <c:v>7.5174962360944697</c:v>
                </c:pt>
                <c:pt idx="133">
                  <c:v>7.5160557855757597</c:v>
                </c:pt>
                <c:pt idx="134">
                  <c:v>7.5048251403106701</c:v>
                </c:pt>
                <c:pt idx="135">
                  <c:v>7.5043175614321198</c:v>
                </c:pt>
                <c:pt idx="136">
                  <c:v>7.49726304163769</c:v>
                </c:pt>
                <c:pt idx="137">
                  <c:v>7.4911446604864604</c:v>
                </c:pt>
                <c:pt idx="138">
                  <c:v>7.4908796677654603</c:v>
                </c:pt>
                <c:pt idx="139">
                  <c:v>7.4876804383208304</c:v>
                </c:pt>
                <c:pt idx="140">
                  <c:v>7.4836737764283701</c:v>
                </c:pt>
                <c:pt idx="141">
                  <c:v>7.4702361501181302</c:v>
                </c:pt>
                <c:pt idx="142">
                  <c:v>7.4681022837520903</c:v>
                </c:pt>
                <c:pt idx="143">
                  <c:v>7.4668762172246304</c:v>
                </c:pt>
                <c:pt idx="144">
                  <c:v>7.4548539420016597</c:v>
                </c:pt>
                <c:pt idx="145">
                  <c:v>7.4508179693765904</c:v>
                </c:pt>
                <c:pt idx="146">
                  <c:v>7.4503570217100101</c:v>
                </c:pt>
                <c:pt idx="147">
                  <c:v>7.4460740144694402</c:v>
                </c:pt>
                <c:pt idx="148">
                  <c:v>7.4438135584784701</c:v>
                </c:pt>
                <c:pt idx="149">
                  <c:v>7.4391701583205796</c:v>
                </c:pt>
                <c:pt idx="150">
                  <c:v>7.4380497425348304</c:v>
                </c:pt>
                <c:pt idx="151">
                  <c:v>7.4373028185760903</c:v>
                </c:pt>
                <c:pt idx="152">
                  <c:v>7.4369538690031103</c:v>
                </c:pt>
                <c:pt idx="153">
                  <c:v>7.4349083513073202</c:v>
                </c:pt>
                <c:pt idx="154">
                  <c:v>7.4284941050597002</c:v>
                </c:pt>
                <c:pt idx="155">
                  <c:v>7.4260162089213697</c:v>
                </c:pt>
                <c:pt idx="156">
                  <c:v>7.4227571242564201</c:v>
                </c:pt>
                <c:pt idx="157">
                  <c:v>7.41362400565591</c:v>
                </c:pt>
                <c:pt idx="158">
                  <c:v>7.40942092848017</c:v>
                </c:pt>
                <c:pt idx="159">
                  <c:v>7.4006877131526601</c:v>
                </c:pt>
                <c:pt idx="160">
                  <c:v>7.4000295587189999</c:v>
                </c:pt>
                <c:pt idx="161">
                  <c:v>7.3964867235472402</c:v>
                </c:pt>
                <c:pt idx="162">
                  <c:v>7.3961681256071303</c:v>
                </c:pt>
                <c:pt idx="163">
                  <c:v>7.3879548957438503</c:v>
                </c:pt>
                <c:pt idx="164">
                  <c:v>7.3838074696453297</c:v>
                </c:pt>
                <c:pt idx="165">
                  <c:v>7.3705009506483696</c:v>
                </c:pt>
                <c:pt idx="166">
                  <c:v>7.3681773954134098</c:v>
                </c:pt>
                <c:pt idx="167">
                  <c:v>7.3659026130103102</c:v>
                </c:pt>
                <c:pt idx="168">
                  <c:v>7.36556476586036</c:v>
                </c:pt>
                <c:pt idx="169">
                  <c:v>7.3639237703450604</c:v>
                </c:pt>
                <c:pt idx="170">
                  <c:v>7.3637645389816004</c:v>
                </c:pt>
                <c:pt idx="171">
                  <c:v>7.3600960567010798</c:v>
                </c:pt>
                <c:pt idx="172">
                  <c:v>7.3572661666131198</c:v>
                </c:pt>
                <c:pt idx="173">
                  <c:v>7.3561330592155398</c:v>
                </c:pt>
                <c:pt idx="174">
                  <c:v>7.3511987410636799</c:v>
                </c:pt>
                <c:pt idx="175">
                  <c:v>7.3473998871901101</c:v>
                </c:pt>
                <c:pt idx="176">
                  <c:v>7.3436289743343002</c:v>
                </c:pt>
                <c:pt idx="177">
                  <c:v>7.3417398677008796</c:v>
                </c:pt>
                <c:pt idx="178">
                  <c:v>7.33858700139925</c:v>
                </c:pt>
                <c:pt idx="179">
                  <c:v>7.3383037066363999</c:v>
                </c:pt>
                <c:pt idx="180">
                  <c:v>7.3300116415999401</c:v>
                </c:pt>
                <c:pt idx="181">
                  <c:v>7.3278300466708401</c:v>
                </c:pt>
                <c:pt idx="182">
                  <c:v>7.3273921234352404</c:v>
                </c:pt>
                <c:pt idx="183">
                  <c:v>7.3256448241863996</c:v>
                </c:pt>
                <c:pt idx="184">
                  <c:v>7.3225102986039499</c:v>
                </c:pt>
                <c:pt idx="185">
                  <c:v>7.3190531075651197</c:v>
                </c:pt>
                <c:pt idx="186">
                  <c:v>7.31857099564421</c:v>
                </c:pt>
                <c:pt idx="187">
                  <c:v>7.3147360359881501</c:v>
                </c:pt>
                <c:pt idx="188">
                  <c:v>7.3115079171970203</c:v>
                </c:pt>
                <c:pt idx="189">
                  <c:v>7.3028011236666996</c:v>
                </c:pt>
                <c:pt idx="190">
                  <c:v>7.2971562794196396</c:v>
                </c:pt>
                <c:pt idx="191">
                  <c:v>7.2930369217653803</c:v>
                </c:pt>
                <c:pt idx="192">
                  <c:v>7.29175261847874</c:v>
                </c:pt>
                <c:pt idx="193">
                  <c:v>7.2852857563235096</c:v>
                </c:pt>
                <c:pt idx="194">
                  <c:v>7.2741325300813804</c:v>
                </c:pt>
                <c:pt idx="195">
                  <c:v>7.2737484030676303</c:v>
                </c:pt>
                <c:pt idx="196">
                  <c:v>7.2708845009759804</c:v>
                </c:pt>
                <c:pt idx="197">
                  <c:v>7.2637419430666004</c:v>
                </c:pt>
                <c:pt idx="198">
                  <c:v>7.2615792055022403</c:v>
                </c:pt>
                <c:pt idx="199">
                  <c:v>7.2584488720159701</c:v>
                </c:pt>
                <c:pt idx="200">
                  <c:v>7.2539364926043604</c:v>
                </c:pt>
                <c:pt idx="201">
                  <c:v>7.2501624722956501</c:v>
                </c:pt>
                <c:pt idx="202">
                  <c:v>7.2479611942796103</c:v>
                </c:pt>
                <c:pt idx="203">
                  <c:v>7.2441587192046297</c:v>
                </c:pt>
                <c:pt idx="204">
                  <c:v>7.2422753538610101</c:v>
                </c:pt>
                <c:pt idx="205">
                  <c:v>7.2397709145249403</c:v>
                </c:pt>
                <c:pt idx="206">
                  <c:v>7.2391119035091798</c:v>
                </c:pt>
                <c:pt idx="207">
                  <c:v>7.2338365073806701</c:v>
                </c:pt>
                <c:pt idx="208">
                  <c:v>7.2324337541612902</c:v>
                </c:pt>
                <c:pt idx="209">
                  <c:v>7.2321423275091199</c:v>
                </c:pt>
                <c:pt idx="210">
                  <c:v>7.2282603454677199</c:v>
                </c:pt>
                <c:pt idx="211">
                  <c:v>7.2254822929301303</c:v>
                </c:pt>
                <c:pt idx="212">
                  <c:v>7.2209154127151596</c:v>
                </c:pt>
                <c:pt idx="213">
                  <c:v>7.2202454446493096</c:v>
                </c:pt>
                <c:pt idx="214">
                  <c:v>7.2090432808392597</c:v>
                </c:pt>
                <c:pt idx="215">
                  <c:v>7.2045007733587498</c:v>
                </c:pt>
                <c:pt idx="216">
                  <c:v>7.2009588120668901</c:v>
                </c:pt>
                <c:pt idx="217">
                  <c:v>7.1996621668599197</c:v>
                </c:pt>
                <c:pt idx="218">
                  <c:v>7.1930717838206304</c:v>
                </c:pt>
                <c:pt idx="219">
                  <c:v>7.1843232030863096</c:v>
                </c:pt>
                <c:pt idx="220">
                  <c:v>7.1825618367704003</c:v>
                </c:pt>
                <c:pt idx="221">
                  <c:v>7.1794142427996102</c:v>
                </c:pt>
                <c:pt idx="222">
                  <c:v>7.1712600312900499</c:v>
                </c:pt>
                <c:pt idx="223">
                  <c:v>7.1705504838894703</c:v>
                </c:pt>
                <c:pt idx="224">
                  <c:v>7.1686636857374397</c:v>
                </c:pt>
                <c:pt idx="225">
                  <c:v>7.1603999750105496</c:v>
                </c:pt>
                <c:pt idx="226">
                  <c:v>7.15998092926423</c:v>
                </c:pt>
                <c:pt idx="227">
                  <c:v>7.1534056729022204</c:v>
                </c:pt>
                <c:pt idx="228">
                  <c:v>7.1514274050106401</c:v>
                </c:pt>
                <c:pt idx="229">
                  <c:v>7.15079584684376</c:v>
                </c:pt>
                <c:pt idx="230">
                  <c:v>7.1494478424414503</c:v>
                </c:pt>
                <c:pt idx="231">
                  <c:v>7.1411149710966804</c:v>
                </c:pt>
                <c:pt idx="232">
                  <c:v>7.1402651221633597</c:v>
                </c:pt>
                <c:pt idx="233">
                  <c:v>7.1327267212497096</c:v>
                </c:pt>
                <c:pt idx="234">
                  <c:v>7.1315590008908796</c:v>
                </c:pt>
                <c:pt idx="235">
                  <c:v>7.1296684991252199</c:v>
                </c:pt>
                <c:pt idx="236">
                  <c:v>7.1237558897041096</c:v>
                </c:pt>
                <c:pt idx="237">
                  <c:v>7.12230351497307</c:v>
                </c:pt>
                <c:pt idx="238">
                  <c:v>7.1103437424499996</c:v>
                </c:pt>
                <c:pt idx="239">
                  <c:v>7.1083828118317003</c:v>
                </c:pt>
                <c:pt idx="240">
                  <c:v>7.1070412066701403</c:v>
                </c:pt>
                <c:pt idx="241">
                  <c:v>7.1058026134337204</c:v>
                </c:pt>
                <c:pt idx="242">
                  <c:v>7.1053293784469602</c:v>
                </c:pt>
                <c:pt idx="243">
                  <c:v>7.0979487140823396</c:v>
                </c:pt>
                <c:pt idx="244">
                  <c:v>7.0976024210270401</c:v>
                </c:pt>
                <c:pt idx="245">
                  <c:v>7.0912314954004803</c:v>
                </c:pt>
                <c:pt idx="246">
                  <c:v>7.0845343119790902</c:v>
                </c:pt>
                <c:pt idx="247">
                  <c:v>7.0660198729288402</c:v>
                </c:pt>
                <c:pt idx="248">
                  <c:v>7.06186998518496</c:v>
                </c:pt>
                <c:pt idx="249">
                  <c:v>7.0575178404358798</c:v>
                </c:pt>
                <c:pt idx="250">
                  <c:v>7.0483251343629396</c:v>
                </c:pt>
                <c:pt idx="251">
                  <c:v>7.0475250112735699</c:v>
                </c:pt>
                <c:pt idx="252">
                  <c:v>7.0457638963570401</c:v>
                </c:pt>
                <c:pt idx="253">
                  <c:v>7.0428659948985404</c:v>
                </c:pt>
                <c:pt idx="254">
                  <c:v>7.04135809814772</c:v>
                </c:pt>
                <c:pt idx="255">
                  <c:v>7.0310160079649702</c:v>
                </c:pt>
                <c:pt idx="256">
                  <c:v>7.01846415154517</c:v>
                </c:pt>
                <c:pt idx="257">
                  <c:v>7.01597521240235</c:v>
                </c:pt>
                <c:pt idx="258">
                  <c:v>7.0080824567809996</c:v>
                </c:pt>
                <c:pt idx="259">
                  <c:v>7.0020172093650501</c:v>
                </c:pt>
                <c:pt idx="260">
                  <c:v>6.9983106571390303</c:v>
                </c:pt>
                <c:pt idx="261">
                  <c:v>6.9977379594154998</c:v>
                </c:pt>
                <c:pt idx="262">
                  <c:v>6.9817285236132296</c:v>
                </c:pt>
                <c:pt idx="263">
                  <c:v>6.9717606793820801</c:v>
                </c:pt>
                <c:pt idx="264">
                  <c:v>6.9634500792935796</c:v>
                </c:pt>
                <c:pt idx="265">
                  <c:v>6.96005702560758</c:v>
                </c:pt>
                <c:pt idx="266">
                  <c:v>6.9600452173757601</c:v>
                </c:pt>
                <c:pt idx="267">
                  <c:v>6.9579911352122998</c:v>
                </c:pt>
                <c:pt idx="268">
                  <c:v>6.9568045133144203</c:v>
                </c:pt>
                <c:pt idx="269">
                  <c:v>6.9498216954468202</c:v>
                </c:pt>
                <c:pt idx="270">
                  <c:v>6.9430718377159</c:v>
                </c:pt>
                <c:pt idx="271">
                  <c:v>6.9409604634760402</c:v>
                </c:pt>
                <c:pt idx="272">
                  <c:v>6.9219556026463698</c:v>
                </c:pt>
                <c:pt idx="273">
                  <c:v>6.9159031772597697</c:v>
                </c:pt>
                <c:pt idx="274">
                  <c:v>6.9139746175081802</c:v>
                </c:pt>
                <c:pt idx="275">
                  <c:v>6.9079316111765197</c:v>
                </c:pt>
                <c:pt idx="276">
                  <c:v>6.9065856586953602</c:v>
                </c:pt>
                <c:pt idx="277">
                  <c:v>6.90355635877052</c:v>
                </c:pt>
                <c:pt idx="278">
                  <c:v>6.9012483434796597</c:v>
                </c:pt>
                <c:pt idx="279">
                  <c:v>6.8998120516524999</c:v>
                </c:pt>
                <c:pt idx="280">
                  <c:v>6.8981360993708796</c:v>
                </c:pt>
                <c:pt idx="281">
                  <c:v>6.8958484540561402</c:v>
                </c:pt>
                <c:pt idx="282">
                  <c:v>6.8949449740275899</c:v>
                </c:pt>
                <c:pt idx="283">
                  <c:v>6.8896979344941203</c:v>
                </c:pt>
                <c:pt idx="284">
                  <c:v>6.8880389294335904</c:v>
                </c:pt>
                <c:pt idx="285">
                  <c:v>6.8839251676682398</c:v>
                </c:pt>
                <c:pt idx="286">
                  <c:v>6.8803730457369801</c:v>
                </c:pt>
                <c:pt idx="287">
                  <c:v>6.8758544289719401</c:v>
                </c:pt>
                <c:pt idx="288">
                  <c:v>6.8730063077450803</c:v>
                </c:pt>
                <c:pt idx="289">
                  <c:v>6.8716439112095804</c:v>
                </c:pt>
                <c:pt idx="290">
                  <c:v>6.8688900773351502</c:v>
                </c:pt>
                <c:pt idx="291">
                  <c:v>6.8639267043862402</c:v>
                </c:pt>
                <c:pt idx="292">
                  <c:v>6.8508415012868502</c:v>
                </c:pt>
                <c:pt idx="293">
                  <c:v>6.8497757023669603</c:v>
                </c:pt>
                <c:pt idx="294">
                  <c:v>6.8437258304737201</c:v>
                </c:pt>
                <c:pt idx="295">
                  <c:v>6.8379735775154797</c:v>
                </c:pt>
                <c:pt idx="296">
                  <c:v>6.8378842636999</c:v>
                </c:pt>
                <c:pt idx="297">
                  <c:v>6.8367255259209196</c:v>
                </c:pt>
                <c:pt idx="298">
                  <c:v>6.8362219558573001</c:v>
                </c:pt>
                <c:pt idx="299">
                  <c:v>6.8335173160796003</c:v>
                </c:pt>
                <c:pt idx="300">
                  <c:v>6.8307113058806701</c:v>
                </c:pt>
                <c:pt idx="301">
                  <c:v>6.81085316247525</c:v>
                </c:pt>
                <c:pt idx="302">
                  <c:v>6.8011923087869102</c:v>
                </c:pt>
                <c:pt idx="303">
                  <c:v>6.8008530832385601</c:v>
                </c:pt>
                <c:pt idx="304">
                  <c:v>6.8002162170852696</c:v>
                </c:pt>
                <c:pt idx="305">
                  <c:v>6.7998309562936896</c:v>
                </c:pt>
                <c:pt idx="306">
                  <c:v>6.7984556179386901</c:v>
                </c:pt>
                <c:pt idx="307">
                  <c:v>6.7897633805854998</c:v>
                </c:pt>
                <c:pt idx="308">
                  <c:v>6.7834812225861603</c:v>
                </c:pt>
                <c:pt idx="309">
                  <c:v>6.7760645269816404</c:v>
                </c:pt>
                <c:pt idx="310">
                  <c:v>6.7751029407763399</c:v>
                </c:pt>
                <c:pt idx="311">
                  <c:v>6.7700926946644797</c:v>
                </c:pt>
                <c:pt idx="312">
                  <c:v>6.7669138929470298</c:v>
                </c:pt>
                <c:pt idx="313">
                  <c:v>6.765044301523</c:v>
                </c:pt>
                <c:pt idx="314">
                  <c:v>6.7618857594080399</c:v>
                </c:pt>
                <c:pt idx="315">
                  <c:v>6.7609844405689996</c:v>
                </c:pt>
                <c:pt idx="316">
                  <c:v>6.7609095474178096</c:v>
                </c:pt>
                <c:pt idx="317">
                  <c:v>6.7604802724116198</c:v>
                </c:pt>
                <c:pt idx="318">
                  <c:v>6.7580122591885097</c:v>
                </c:pt>
                <c:pt idx="319">
                  <c:v>6.7565048112947501</c:v>
                </c:pt>
                <c:pt idx="320">
                  <c:v>6.7553649080157898</c:v>
                </c:pt>
                <c:pt idx="321">
                  <c:v>6.7548434014617103</c:v>
                </c:pt>
                <c:pt idx="322">
                  <c:v>6.7545357376882897</c:v>
                </c:pt>
                <c:pt idx="323">
                  <c:v>6.7503695604209497</c:v>
                </c:pt>
                <c:pt idx="324">
                  <c:v>6.7441353956271497</c:v>
                </c:pt>
                <c:pt idx="325">
                  <c:v>6.7370513547064901</c:v>
                </c:pt>
                <c:pt idx="326">
                  <c:v>6.7306570548755298</c:v>
                </c:pt>
                <c:pt idx="327">
                  <c:v>6.7295716690874698</c:v>
                </c:pt>
                <c:pt idx="328">
                  <c:v>6.7245234288268003</c:v>
                </c:pt>
                <c:pt idx="329">
                  <c:v>6.7189092195699001</c:v>
                </c:pt>
                <c:pt idx="330">
                  <c:v>6.7117662853692996</c:v>
                </c:pt>
                <c:pt idx="331">
                  <c:v>6.7072831914727598</c:v>
                </c:pt>
                <c:pt idx="332">
                  <c:v>6.7062050720509401</c:v>
                </c:pt>
                <c:pt idx="333">
                  <c:v>6.7026545194812401</c:v>
                </c:pt>
                <c:pt idx="334">
                  <c:v>6.6865167324693999</c:v>
                </c:pt>
                <c:pt idx="335">
                  <c:v>6.6809079694782803</c:v>
                </c:pt>
                <c:pt idx="336">
                  <c:v>6.6640613061898497</c:v>
                </c:pt>
                <c:pt idx="337">
                  <c:v>6.6611285352597998</c:v>
                </c:pt>
                <c:pt idx="338">
                  <c:v>6.6567537505215899</c:v>
                </c:pt>
                <c:pt idx="339">
                  <c:v>6.6556248219806804</c:v>
                </c:pt>
                <c:pt idx="340">
                  <c:v>6.6496883823996598</c:v>
                </c:pt>
                <c:pt idx="341">
                  <c:v>6.6478411828632504</c:v>
                </c:pt>
                <c:pt idx="342">
                  <c:v>6.6377681790976597</c:v>
                </c:pt>
                <c:pt idx="343">
                  <c:v>6.6327153119757298</c:v>
                </c:pt>
                <c:pt idx="344">
                  <c:v>6.6318889462894299</c:v>
                </c:pt>
                <c:pt idx="345">
                  <c:v>6.6214758468225998</c:v>
                </c:pt>
                <c:pt idx="346">
                  <c:v>6.6173375489378801</c:v>
                </c:pt>
                <c:pt idx="347">
                  <c:v>6.6169386018769796</c:v>
                </c:pt>
                <c:pt idx="348">
                  <c:v>6.6161774446491997</c:v>
                </c:pt>
                <c:pt idx="349">
                  <c:v>6.60573406367799</c:v>
                </c:pt>
                <c:pt idx="350">
                  <c:v>6.6018417306584398</c:v>
                </c:pt>
                <c:pt idx="351">
                  <c:v>6.5970544032493903</c:v>
                </c:pt>
                <c:pt idx="352">
                  <c:v>6.5970075298042996</c:v>
                </c:pt>
                <c:pt idx="353">
                  <c:v>6.58822799500442</c:v>
                </c:pt>
                <c:pt idx="354">
                  <c:v>6.5861052910656204</c:v>
                </c:pt>
                <c:pt idx="355">
                  <c:v>6.5859441910415804</c:v>
                </c:pt>
                <c:pt idx="356">
                  <c:v>6.5847710075284702</c:v>
                </c:pt>
                <c:pt idx="357">
                  <c:v>6.57860878537074</c:v>
                </c:pt>
                <c:pt idx="358">
                  <c:v>6.5768958734763299</c:v>
                </c:pt>
                <c:pt idx="359">
                  <c:v>6.57599521669081</c:v>
                </c:pt>
                <c:pt idx="360">
                  <c:v>6.5753986171783598</c:v>
                </c:pt>
                <c:pt idx="361">
                  <c:v>6.5707442797579798</c:v>
                </c:pt>
                <c:pt idx="362">
                  <c:v>6.5680112089423899</c:v>
                </c:pt>
                <c:pt idx="363">
                  <c:v>6.5620340549305798</c:v>
                </c:pt>
                <c:pt idx="364">
                  <c:v>6.5563803953540098</c:v>
                </c:pt>
                <c:pt idx="365">
                  <c:v>6.5547018940174997</c:v>
                </c:pt>
                <c:pt idx="366">
                  <c:v>6.5529418449032901</c:v>
                </c:pt>
                <c:pt idx="367">
                  <c:v>6.5478914755343904</c:v>
                </c:pt>
                <c:pt idx="368">
                  <c:v>6.5405930065628199</c:v>
                </c:pt>
                <c:pt idx="369">
                  <c:v>6.5359381201412203</c:v>
                </c:pt>
                <c:pt idx="370">
                  <c:v>6.5338792211118797</c:v>
                </c:pt>
                <c:pt idx="371">
                  <c:v>6.5306814145492096</c:v>
                </c:pt>
                <c:pt idx="372">
                  <c:v>6.5292652808289402</c:v>
                </c:pt>
                <c:pt idx="373">
                  <c:v>6.5253480914612902</c:v>
                </c:pt>
                <c:pt idx="374">
                  <c:v>6.5177571808207704</c:v>
                </c:pt>
                <c:pt idx="375">
                  <c:v>6.5122998500599296</c:v>
                </c:pt>
                <c:pt idx="376">
                  <c:v>6.50776229273366</c:v>
                </c:pt>
                <c:pt idx="377">
                  <c:v>6.5023596147233098</c:v>
                </c:pt>
                <c:pt idx="378">
                  <c:v>6.4843240808458003</c:v>
                </c:pt>
                <c:pt idx="379">
                  <c:v>6.4794537281297799</c:v>
                </c:pt>
                <c:pt idx="380">
                  <c:v>6.4791522536599899</c:v>
                </c:pt>
                <c:pt idx="381">
                  <c:v>6.4587390467310204</c:v>
                </c:pt>
                <c:pt idx="382">
                  <c:v>6.4380361284874796</c:v>
                </c:pt>
                <c:pt idx="383">
                  <c:v>6.433604242585</c:v>
                </c:pt>
                <c:pt idx="384">
                  <c:v>6.42756164964129</c:v>
                </c:pt>
                <c:pt idx="385">
                  <c:v>6.4249306552624201</c:v>
                </c:pt>
                <c:pt idx="386">
                  <c:v>6.4201088804749897</c:v>
                </c:pt>
                <c:pt idx="387">
                  <c:v>6.3928837300487196</c:v>
                </c:pt>
                <c:pt idx="388">
                  <c:v>6.3859802224033499</c:v>
                </c:pt>
                <c:pt idx="389">
                  <c:v>6.3846386678634897</c:v>
                </c:pt>
                <c:pt idx="390">
                  <c:v>6.3815249839931898</c:v>
                </c:pt>
                <c:pt idx="391">
                  <c:v>6.3666366429102803</c:v>
                </c:pt>
                <c:pt idx="392">
                  <c:v>6.3554539147740901</c:v>
                </c:pt>
                <c:pt idx="393">
                  <c:v>6.3548317247151402</c:v>
                </c:pt>
                <c:pt idx="394">
                  <c:v>6.3488067867486002</c:v>
                </c:pt>
                <c:pt idx="395">
                  <c:v>6.34112650157304</c:v>
                </c:pt>
                <c:pt idx="396">
                  <c:v>6.3196460659743403</c:v>
                </c:pt>
                <c:pt idx="397">
                  <c:v>6.2971320251735401</c:v>
                </c:pt>
                <c:pt idx="398">
                  <c:v>6.2919304500336803</c:v>
                </c:pt>
                <c:pt idx="399">
                  <c:v>6.2840799981649402</c:v>
                </c:pt>
                <c:pt idx="400">
                  <c:v>6.2836361509334502</c:v>
                </c:pt>
                <c:pt idx="401">
                  <c:v>6.2829321761019203</c:v>
                </c:pt>
                <c:pt idx="402">
                  <c:v>6.2809071533924898</c:v>
                </c:pt>
                <c:pt idx="403">
                  <c:v>6.2622277741102401</c:v>
                </c:pt>
                <c:pt idx="404">
                  <c:v>6.2506095987748997</c:v>
                </c:pt>
                <c:pt idx="405">
                  <c:v>6.25011338710764</c:v>
                </c:pt>
                <c:pt idx="406">
                  <c:v>6.2488576390306596</c:v>
                </c:pt>
                <c:pt idx="407">
                  <c:v>6.2139815867422001</c:v>
                </c:pt>
                <c:pt idx="408">
                  <c:v>6.1535596222981104</c:v>
                </c:pt>
                <c:pt idx="409">
                  <c:v>6.11045052018153</c:v>
                </c:pt>
                <c:pt idx="410">
                  <c:v>6.1062940172060101</c:v>
                </c:pt>
                <c:pt idx="411">
                  <c:v>6.0912042843119503</c:v>
                </c:pt>
                <c:pt idx="412">
                  <c:v>6.0879286413902802</c:v>
                </c:pt>
                <c:pt idx="413">
                  <c:v>6.05852623469824</c:v>
                </c:pt>
                <c:pt idx="414">
                  <c:v>6.0552545914319298</c:v>
                </c:pt>
                <c:pt idx="415">
                  <c:v>6.0510448040582299</c:v>
                </c:pt>
                <c:pt idx="416">
                  <c:v>6.0466173778168804</c:v>
                </c:pt>
                <c:pt idx="417">
                  <c:v>6.0459157674827999</c:v>
                </c:pt>
                <c:pt idx="418">
                  <c:v>5.9904658939849096</c:v>
                </c:pt>
                <c:pt idx="419">
                  <c:v>5.98798709202726</c:v>
                </c:pt>
                <c:pt idx="420">
                  <c:v>5.97865114711849</c:v>
                </c:pt>
                <c:pt idx="421">
                  <c:v>5.9477997584722502</c:v>
                </c:pt>
                <c:pt idx="422">
                  <c:v>5.9122815885376196</c:v>
                </c:pt>
                <c:pt idx="423">
                  <c:v>5.8774059037374</c:v>
                </c:pt>
                <c:pt idx="424">
                  <c:v>5.8755901290718704</c:v>
                </c:pt>
                <c:pt idx="425">
                  <c:v>5.8653061144835696</c:v>
                </c:pt>
                <c:pt idx="426">
                  <c:v>5.8041814450558302</c:v>
                </c:pt>
                <c:pt idx="427">
                  <c:v>5.7759167214554603</c:v>
                </c:pt>
                <c:pt idx="428">
                  <c:v>5.7652841868129601</c:v>
                </c:pt>
                <c:pt idx="429">
                  <c:v>5.7124175003255502</c:v>
                </c:pt>
                <c:pt idx="430">
                  <c:v>5.6781917387117904</c:v>
                </c:pt>
                <c:pt idx="431">
                  <c:v>5.6716114588245699</c:v>
                </c:pt>
                <c:pt idx="432">
                  <c:v>5.5638152434144104</c:v>
                </c:pt>
                <c:pt idx="433">
                  <c:v>5.4958588009936999</c:v>
                </c:pt>
                <c:pt idx="434">
                  <c:v>5.3728955268406899</c:v>
                </c:pt>
                <c:pt idx="435">
                  <c:v>5.3195621478950104</c:v>
                </c:pt>
                <c:pt idx="436">
                  <c:v>5.2784144617269604</c:v>
                </c:pt>
                <c:pt idx="437">
                  <c:v>5.2184232000384299</c:v>
                </c:pt>
                <c:pt idx="438">
                  <c:v>5.1716781960297604</c:v>
                </c:pt>
                <c:pt idx="439">
                  <c:v>5.0759086562752396</c:v>
                </c:pt>
                <c:pt idx="440">
                  <c:v>5.0568040042595603</c:v>
                </c:pt>
                <c:pt idx="441">
                  <c:v>5.0467206911196598</c:v>
                </c:pt>
                <c:pt idx="442">
                  <c:v>4.9567173695419404</c:v>
                </c:pt>
                <c:pt idx="443">
                  <c:v>4.9486845441504501</c:v>
                </c:pt>
                <c:pt idx="444">
                  <c:v>4.62829176175737</c:v>
                </c:pt>
                <c:pt idx="445">
                  <c:v>4.5506543624087401</c:v>
                </c:pt>
                <c:pt idx="446">
                  <c:v>4.3013557215804603</c:v>
                </c:pt>
                <c:pt idx="447">
                  <c:v>4.2242064440659304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A7-4F1A-8ECF-A7AC4EDAC71B}"/>
            </c:ext>
          </c:extLst>
        </c:ser>
        <c:ser>
          <c:idx val="1"/>
          <c:order val="1"/>
          <c:tx>
            <c:strRef>
              <c:f>iBAQ!$J$1</c:f>
              <c:strCache>
                <c:ptCount val="1"/>
                <c:pt idx="0">
                  <c:v>Locus_tag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9.0985737631852619E-3"/>
                  <c:y val="-9.6782324174796097E-2"/>
                </c:manualLayout>
              </c:layout>
              <c:tx>
                <c:rich>
                  <a:bodyPr/>
                  <a:lstStyle/>
                  <a:p>
                    <a:fld id="{CDE2876C-6348-45C2-8550-75A7725C6B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5A7-4F1A-8ECF-A7AC4EDAC71B}"/>
                </c:ext>
              </c:extLst>
            </c:dLbl>
            <c:dLbl>
              <c:idx val="1"/>
              <c:layout>
                <c:manualLayout>
                  <c:x val="-7.7777764168370248E-2"/>
                  <c:y val="7.9120988659324903E-2"/>
                </c:manualLayout>
              </c:layout>
              <c:tx>
                <c:rich>
                  <a:bodyPr/>
                  <a:lstStyle/>
                  <a:p>
                    <a:fld id="{4374629A-CFF7-4B04-930D-BADE5BE727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5A7-4F1A-8ECF-A7AC4EDAC71B}"/>
                </c:ext>
              </c:extLst>
            </c:dLbl>
            <c:dLbl>
              <c:idx val="2"/>
              <c:layout>
                <c:manualLayout>
                  <c:x val="-3.77358490566038E-2"/>
                  <c:y val="-8.477842003853564E-2"/>
                </c:manualLayout>
              </c:layout>
              <c:tx>
                <c:rich>
                  <a:bodyPr/>
                  <a:lstStyle/>
                  <a:p>
                    <a:fld id="{850B7669-5BA9-4ED8-BF04-9E2D5FB748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5A7-4F1A-8ECF-A7AC4EDAC71B}"/>
                </c:ext>
              </c:extLst>
            </c:dLbl>
            <c:dLbl>
              <c:idx val="3"/>
              <c:layout>
                <c:manualLayout>
                  <c:x val="-0.13836477987421383"/>
                  <c:y val="9.2485549132947972E-2"/>
                </c:manualLayout>
              </c:layout>
              <c:tx>
                <c:rich>
                  <a:bodyPr/>
                  <a:lstStyle/>
                  <a:p>
                    <a:fld id="{44F8EC07-2588-4552-888C-DE86608BF9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B5A7-4F1A-8ECF-A7AC4EDAC71B}"/>
                </c:ext>
              </c:extLst>
            </c:dLbl>
            <c:dLbl>
              <c:idx val="4"/>
              <c:layout>
                <c:manualLayout>
                  <c:x val="-5.031446540880509E-2"/>
                  <c:y val="-0.12074502247912652"/>
                </c:manualLayout>
              </c:layout>
              <c:tx>
                <c:rich>
                  <a:bodyPr/>
                  <a:lstStyle/>
                  <a:p>
                    <a:fld id="{BEB73205-7882-4318-97A6-53822EC760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B5A7-4F1A-8ECF-A7AC4EDAC71B}"/>
                </c:ext>
              </c:extLst>
            </c:dLbl>
            <c:dLbl>
              <c:idx val="5"/>
              <c:layout>
                <c:manualLayout>
                  <c:x val="-0.12106918238993711"/>
                  <c:y val="0.10533076429030186"/>
                </c:manualLayout>
              </c:layout>
              <c:tx>
                <c:rich>
                  <a:bodyPr/>
                  <a:lstStyle/>
                  <a:p>
                    <a:fld id="{E37AD709-B73D-4B11-AC1F-F36D53CDAE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B5A7-4F1A-8ECF-A7AC4EDAC71B}"/>
                </c:ext>
              </c:extLst>
            </c:dLbl>
            <c:dLbl>
              <c:idx val="6"/>
              <c:layout>
                <c:manualLayout>
                  <c:x val="-2.9874213836478047E-2"/>
                  <c:y val="-8.7347463070006418E-2"/>
                </c:manualLayout>
              </c:layout>
              <c:tx>
                <c:rich>
                  <a:bodyPr/>
                  <a:lstStyle/>
                  <a:p>
                    <a:fld id="{2737FCB1-CFCC-4AC1-91CD-3838BC3CE5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B5A7-4F1A-8ECF-A7AC4EDAC71B}"/>
                </c:ext>
              </c:extLst>
            </c:dLbl>
            <c:dLbl>
              <c:idx val="7"/>
              <c:layout>
                <c:manualLayout>
                  <c:x val="-8.4905660377358486E-2"/>
                  <c:y val="0.1233140655105973"/>
                </c:manualLayout>
              </c:layout>
              <c:tx>
                <c:rich>
                  <a:bodyPr/>
                  <a:lstStyle/>
                  <a:p>
                    <a:fld id="{6D0A7DA2-996A-4BB5-93FD-113A514793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B5A7-4F1A-8ECF-A7AC4EDAC71B}"/>
                </c:ext>
              </c:extLst>
            </c:dLbl>
            <c:dLbl>
              <c:idx val="8"/>
              <c:layout>
                <c:manualLayout>
                  <c:x val="-9.4339622641510593E-3"/>
                  <c:y val="-4.8811817597944812E-2"/>
                </c:manualLayout>
              </c:layout>
              <c:tx>
                <c:rich>
                  <a:bodyPr/>
                  <a:lstStyle/>
                  <a:p>
                    <a:fld id="{D8C75337-82AF-4601-A117-EAA363C06A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B5A7-4F1A-8ECF-A7AC4EDAC71B}"/>
                </c:ext>
              </c:extLst>
            </c:dLbl>
            <c:dLbl>
              <c:idx val="9"/>
              <c:layout>
                <c:manualLayout>
                  <c:x val="-8.4905660377358486E-2"/>
                  <c:y val="-6.6795118818240212E-2"/>
                </c:manualLayout>
              </c:layout>
              <c:tx>
                <c:rich>
                  <a:bodyPr/>
                  <a:lstStyle/>
                  <a:p>
                    <a:fld id="{DA5946BB-469D-47D0-AEA1-359DB195BD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B5A7-4F1A-8ECF-A7AC4EDAC71B}"/>
                </c:ext>
              </c:extLst>
            </c:dLbl>
            <c:dLbl>
              <c:idx val="10"/>
              <c:layout>
                <c:manualLayout>
                  <c:x val="-0.17452830188679244"/>
                  <c:y val="3.3397559409120106E-2"/>
                </c:manualLayout>
              </c:layout>
              <c:tx>
                <c:rich>
                  <a:bodyPr/>
                  <a:lstStyle/>
                  <a:p>
                    <a:fld id="{F2A5F52A-FC4F-43A7-8B6B-0ED6691CA3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B5A7-4F1A-8ECF-A7AC4EDAC71B}"/>
                </c:ext>
              </c:extLst>
            </c:dLbl>
            <c:dLbl>
              <c:idx val="11"/>
              <c:layout>
                <c:manualLayout>
                  <c:x val="-1.8867924528301772E-2"/>
                  <c:y val="-5.3949903660886415E-2"/>
                </c:manualLayout>
              </c:layout>
              <c:tx>
                <c:rich>
                  <a:bodyPr/>
                  <a:lstStyle/>
                  <a:p>
                    <a:fld id="{111F3DA4-CF09-469B-9D21-ACCF2C9577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B5A7-4F1A-8ECF-A7AC4EDAC71B}"/>
                </c:ext>
              </c:extLst>
            </c:dLbl>
            <c:dLbl>
              <c:idx val="12"/>
              <c:layout>
                <c:manualLayout>
                  <c:x val="-0.17295597484276728"/>
                  <c:y val="5.3949903660886318E-2"/>
                </c:manualLayout>
              </c:layout>
              <c:tx>
                <c:rich>
                  <a:bodyPr/>
                  <a:lstStyle/>
                  <a:p>
                    <a:fld id="{4862C273-EA9C-4222-8790-F73CAA0DD8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B5A7-4F1A-8ECF-A7AC4EDAC71B}"/>
                </c:ext>
              </c:extLst>
            </c:dLbl>
            <c:dLbl>
              <c:idx val="13"/>
              <c:layout>
                <c:manualLayout>
                  <c:x val="-0.15094339622641509"/>
                  <c:y val="8.477842003853564E-2"/>
                </c:manualLayout>
              </c:layout>
              <c:tx>
                <c:rich>
                  <a:bodyPr/>
                  <a:lstStyle/>
                  <a:p>
                    <a:fld id="{4035B801-C49D-4AC1-B883-F38442FF02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B5A7-4F1A-8ECF-A7AC4EDAC71B}"/>
                </c:ext>
              </c:extLst>
            </c:dLbl>
            <c:dLbl>
              <c:idx val="14"/>
              <c:layout>
                <c:manualLayout>
                  <c:x val="-6.2893081761006286E-5"/>
                  <c:y val="-4.632166643909405E-2"/>
                </c:manualLayout>
              </c:layout>
              <c:tx>
                <c:rich>
                  <a:bodyPr/>
                  <a:lstStyle/>
                  <a:p>
                    <a:fld id="{CB0D628D-6323-49DC-8922-BA118DF004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B5A7-4F1A-8ECF-A7AC4EDAC71B}"/>
                </c:ext>
              </c:extLst>
            </c:dLbl>
            <c:dLbl>
              <c:idx val="15"/>
              <c:layout>
                <c:manualLayout>
                  <c:x val="-0.14622641509433962"/>
                  <c:y val="4.6242774566473896E-2"/>
                </c:manualLayout>
              </c:layout>
              <c:tx>
                <c:rich>
                  <a:bodyPr/>
                  <a:lstStyle/>
                  <a:p>
                    <a:fld id="{5AAE1D00-6C56-4088-9EC6-46F34CB5B9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B5A7-4F1A-8ECF-A7AC4EDAC7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ysClr val="windowText" lastClr="000000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(iBAQ!$A$18,iBAQ!$A$39,iBAQ!$A$58,iBAQ!$A$114,iBAQ!$A$156,iBAQ!$A$189,iBAQ!$A$209,iBAQ!$A$240,iBAQ!$A$252,iBAQ!$A$373,iBAQ!$A$391,iBAQ!$A$406,iBAQ!$A$415,iBAQ!$A$428,iBAQ!$A$429,iBAQ!$A$445)</c:f>
              <c:numCache>
                <c:formatCode>General</c:formatCode>
                <c:ptCount val="16"/>
                <c:pt idx="0">
                  <c:v>17</c:v>
                </c:pt>
                <c:pt idx="1">
                  <c:v>38</c:v>
                </c:pt>
                <c:pt idx="2">
                  <c:v>57</c:v>
                </c:pt>
                <c:pt idx="3">
                  <c:v>113</c:v>
                </c:pt>
                <c:pt idx="4">
                  <c:v>155</c:v>
                </c:pt>
                <c:pt idx="5">
                  <c:v>188</c:v>
                </c:pt>
                <c:pt idx="6">
                  <c:v>208</c:v>
                </c:pt>
                <c:pt idx="7">
                  <c:v>239</c:v>
                </c:pt>
                <c:pt idx="8">
                  <c:v>251</c:v>
                </c:pt>
                <c:pt idx="9">
                  <c:v>372</c:v>
                </c:pt>
                <c:pt idx="10">
                  <c:v>390</c:v>
                </c:pt>
                <c:pt idx="11">
                  <c:v>405</c:v>
                </c:pt>
                <c:pt idx="12">
                  <c:v>414</c:v>
                </c:pt>
                <c:pt idx="13">
                  <c:v>427</c:v>
                </c:pt>
                <c:pt idx="14">
                  <c:v>428</c:v>
                </c:pt>
                <c:pt idx="15">
                  <c:v>444</c:v>
                </c:pt>
              </c:numCache>
            </c:numRef>
          </c:xVal>
          <c:yVal>
            <c:numRef>
              <c:f>(iBAQ!$E$18,iBAQ!$E$39,iBAQ!$E$58,iBAQ!$E$114,iBAQ!$E$156,iBAQ!$E$189,iBAQ!$E$209,iBAQ!$E$240,iBAQ!$E$252,iBAQ!$E$373,iBAQ!$E$391,iBAQ!$E$406,iBAQ!$E$415,iBAQ!$E$428,iBAQ!$E$429,iBAQ!$E$445)</c:f>
              <c:numCache>
                <c:formatCode>General</c:formatCode>
                <c:ptCount val="16"/>
                <c:pt idx="0">
                  <c:v>8.31056777566317</c:v>
                </c:pt>
                <c:pt idx="1">
                  <c:v>8.1244784272366992</c:v>
                </c:pt>
                <c:pt idx="2">
                  <c:v>7.9546242505329898</c:v>
                </c:pt>
                <c:pt idx="3">
                  <c:v>7.5963708957443004</c:v>
                </c:pt>
                <c:pt idx="4">
                  <c:v>7.4284941050597002</c:v>
                </c:pt>
                <c:pt idx="5">
                  <c:v>7.3147360359881501</c:v>
                </c:pt>
                <c:pt idx="6">
                  <c:v>7.2338365073806701</c:v>
                </c:pt>
                <c:pt idx="7">
                  <c:v>7.1103437424499996</c:v>
                </c:pt>
                <c:pt idx="8">
                  <c:v>7.0483251343629396</c:v>
                </c:pt>
                <c:pt idx="9">
                  <c:v>6.5306814145492096</c:v>
                </c:pt>
                <c:pt idx="10">
                  <c:v>6.3846386678634897</c:v>
                </c:pt>
                <c:pt idx="11">
                  <c:v>6.2506095987748997</c:v>
                </c:pt>
                <c:pt idx="12">
                  <c:v>6.05852623469824</c:v>
                </c:pt>
                <c:pt idx="13">
                  <c:v>5.8041814450558302</c:v>
                </c:pt>
                <c:pt idx="14">
                  <c:v>5.7759167214554603</c:v>
                </c:pt>
                <c:pt idx="15">
                  <c:v>4.9486845441504501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(iBAQ!$J$18,iBAQ!$J$39,iBAQ!$J$58,iBAQ!$J$114,iBAQ!$J$156,iBAQ!$J$189,iBAQ!$J$209,iBAQ!$J$240,iBAQ!$J$252,iBAQ!$J$373,iBAQ!$J$391,iBAQ!$J$406,iBAQ!$J$415,iBAQ!$J$428,iBAQ!$J$429,iBAQ!$J$445)</c15:f>
                <c15:dlblRangeCache>
                  <c:ptCount val="16"/>
                  <c:pt idx="0">
                    <c:v>JCVISYN3A_0645</c:v>
                  </c:pt>
                  <c:pt idx="1">
                    <c:v>JCVISYN3A_0804</c:v>
                  </c:pt>
                  <c:pt idx="2">
                    <c:v>JCVISYN3A_0803</c:v>
                  </c:pt>
                  <c:pt idx="3">
                    <c:v>JCVISYN3A_0643</c:v>
                  </c:pt>
                  <c:pt idx="4">
                    <c:v>JCVISYN3A_0818</c:v>
                  </c:pt>
                  <c:pt idx="5">
                    <c:v>JCVISYN3A_0794</c:v>
                  </c:pt>
                  <c:pt idx="6">
                    <c:v>JCVISYN3A_0001</c:v>
                  </c:pt>
                  <c:pt idx="7">
                    <c:v>JCVISYN3A_0328</c:v>
                  </c:pt>
                  <c:pt idx="8">
                    <c:v>JCVISYN3A_0652</c:v>
                  </c:pt>
                  <c:pt idx="9">
                    <c:v>JCVISYN3A_0350</c:v>
                  </c:pt>
                  <c:pt idx="10">
                    <c:v>JCVISYN3A_0327</c:v>
                  </c:pt>
                  <c:pt idx="11">
                    <c:v>JCVISYN3A_0525</c:v>
                  </c:pt>
                  <c:pt idx="12">
                    <c:v>JCVISYN3A_0839</c:v>
                  </c:pt>
                  <c:pt idx="13">
                    <c:v>JCVISYN3A_0796</c:v>
                  </c:pt>
                  <c:pt idx="14">
                    <c:v>JCVISYN3A_0774</c:v>
                  </c:pt>
                  <c:pt idx="15">
                    <c:v>JCVISYN3A_0518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B5A7-4F1A-8ECF-A7AC4EDAC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137648"/>
        <c:axId val="1744130992"/>
      </c:scatterChart>
      <c:valAx>
        <c:axId val="174413764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Protein 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44130992"/>
        <c:crosses val="autoZero"/>
        <c:crossBetween val="midCat"/>
        <c:minorUnit val="50"/>
      </c:valAx>
      <c:valAx>
        <c:axId val="1744130992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Protein intensity (iBAQ), log10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44137648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219076</xdr:colOff>
      <xdr:row>1</xdr:row>
      <xdr:rowOff>142869</xdr:rowOff>
    </xdr:from>
    <xdr:to>
      <xdr:col>21</xdr:col>
      <xdr:colOff>295276</xdr:colOff>
      <xdr:row>23</xdr:row>
      <xdr:rowOff>142869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AE349F83-047F-4422-BD4D-F1EEFE89A24C}"/>
            </a:ext>
          </a:extLst>
        </xdr:cNvPr>
        <xdr:cNvGrpSpPr/>
      </xdr:nvGrpSpPr>
      <xdr:grpSpPr>
        <a:xfrm>
          <a:off x="17905096" y="325749"/>
          <a:ext cx="5562600" cy="4023360"/>
          <a:chOff x="8896351" y="1152519"/>
          <a:chExt cx="5562600" cy="429577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5186F352-C5B6-43C1-BDDF-B0F7778E33F3}"/>
              </a:ext>
            </a:extLst>
          </xdr:cNvPr>
          <xdr:cNvGraphicFramePr>
            <a:graphicFrameLocks/>
          </xdr:cNvGraphicFramePr>
        </xdr:nvGraphicFramePr>
        <xdr:xfrm>
          <a:off x="8896351" y="1152519"/>
          <a:ext cx="5562600" cy="42957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D01BD64-1556-4CE2-A018-FD158C271335}"/>
              </a:ext>
            </a:extLst>
          </xdr:cNvPr>
          <xdr:cNvSpPr txBox="1"/>
        </xdr:nvSpPr>
        <xdr:spPr>
          <a:xfrm>
            <a:off x="10820401" y="4362444"/>
            <a:ext cx="1409699" cy="333375"/>
          </a:xfrm>
          <a:prstGeom prst="rect">
            <a:avLst/>
          </a:prstGeom>
          <a:solidFill>
            <a:schemeClr val="bg2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Q1: 10 proteins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1FC0232-2FFE-4DD7-9AD7-06472F34D3BD}"/>
              </a:ext>
            </a:extLst>
          </xdr:cNvPr>
          <xdr:cNvSpPr txBox="1"/>
        </xdr:nvSpPr>
        <xdr:spPr>
          <a:xfrm>
            <a:off x="11058526" y="3457569"/>
            <a:ext cx="1409699" cy="352425"/>
          </a:xfrm>
          <a:prstGeom prst="rect">
            <a:avLst/>
          </a:prstGeom>
          <a:solidFill>
            <a:schemeClr val="bg2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Q2: 27 proteins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F88AB8DD-BDDC-486C-87A2-3A46BF3C2585}"/>
              </a:ext>
            </a:extLst>
          </xdr:cNvPr>
          <xdr:cNvSpPr txBox="1"/>
        </xdr:nvSpPr>
        <xdr:spPr>
          <a:xfrm>
            <a:off x="11382376" y="2495544"/>
            <a:ext cx="1409699" cy="352425"/>
          </a:xfrm>
          <a:prstGeom prst="rect">
            <a:avLst/>
          </a:prstGeom>
          <a:solidFill>
            <a:schemeClr val="bg2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Q3: 59 proteins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546DB53-A400-4614-9F24-F3405A510D01}"/>
              </a:ext>
            </a:extLst>
          </xdr:cNvPr>
          <xdr:cNvSpPr txBox="1"/>
        </xdr:nvSpPr>
        <xdr:spPr>
          <a:xfrm>
            <a:off x="11658601" y="1676394"/>
            <a:ext cx="1590675" cy="352425"/>
          </a:xfrm>
          <a:prstGeom prst="rect">
            <a:avLst/>
          </a:prstGeom>
          <a:solidFill>
            <a:schemeClr val="bg2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Q2: 353 proteins</a:t>
            </a:r>
          </a:p>
        </xdr:txBody>
      </xdr:sp>
    </xdr:grpSp>
    <xdr:clientData/>
  </xdr:twoCellAnchor>
  <xdr:twoCellAnchor editAs="absolute">
    <xdr:from>
      <xdr:col>12</xdr:col>
      <xdr:colOff>171450</xdr:colOff>
      <xdr:row>24</xdr:row>
      <xdr:rowOff>108585</xdr:rowOff>
    </xdr:from>
    <xdr:to>
      <xdr:col>25</xdr:col>
      <xdr:colOff>348615</xdr:colOff>
      <xdr:row>50</xdr:row>
      <xdr:rowOff>99060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3DC2C9E-16FD-4555-8935-56B00CA8F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6.5546875" bestFit="1" customWidth="1"/>
    <col min="2" max="2" width="28.33203125" bestFit="1" customWidth="1"/>
    <col min="3" max="3" width="9.6640625" bestFit="1" customWidth="1"/>
    <col min="4" max="4" width="9.33203125" bestFit="1" customWidth="1"/>
    <col min="5" max="5" width="10.33203125" bestFit="1" customWidth="1"/>
    <col min="6" max="6" width="19" bestFit="1" customWidth="1"/>
    <col min="7" max="7" width="8.88671875" bestFit="1" customWidth="1"/>
    <col min="8" max="8" width="14" bestFit="1" customWidth="1"/>
    <col min="9" max="9" width="8.44140625" bestFit="1" customWidth="1"/>
  </cols>
  <sheetData>
    <row r="1" spans="1:9">
      <c r="A1" s="1" t="s">
        <v>927</v>
      </c>
      <c r="B1" s="1" t="s">
        <v>926</v>
      </c>
      <c r="C1" s="1" t="s">
        <v>925</v>
      </c>
      <c r="D1" s="1" t="s">
        <v>924</v>
      </c>
      <c r="E1" s="1" t="s">
        <v>923</v>
      </c>
      <c r="F1" s="1" t="s">
        <v>922</v>
      </c>
      <c r="G1" s="1" t="s">
        <v>921</v>
      </c>
      <c r="H1" s="1" t="s">
        <v>920</v>
      </c>
      <c r="I1" s="1" t="s">
        <v>919</v>
      </c>
    </row>
    <row r="2" spans="1:9">
      <c r="A2" s="2">
        <v>1</v>
      </c>
      <c r="B2" s="2" t="s">
        <v>918</v>
      </c>
      <c r="C2" s="2" t="s">
        <v>915</v>
      </c>
      <c r="D2" s="2">
        <v>1</v>
      </c>
      <c r="E2" s="2">
        <v>14387</v>
      </c>
      <c r="F2" s="2">
        <v>10421</v>
      </c>
      <c r="G2" s="2">
        <v>9037</v>
      </c>
      <c r="H2" s="3">
        <v>448</v>
      </c>
      <c r="I2" s="2">
        <v>448</v>
      </c>
    </row>
    <row r="3" spans="1:9">
      <c r="A3" s="2">
        <v>2</v>
      </c>
      <c r="B3" s="2" t="s">
        <v>917</v>
      </c>
      <c r="C3" s="2" t="s">
        <v>915</v>
      </c>
      <c r="D3" s="2">
        <v>2</v>
      </c>
      <c r="E3" s="2">
        <v>14879</v>
      </c>
      <c r="F3" s="2">
        <v>10810</v>
      </c>
      <c r="G3" s="2">
        <v>9377</v>
      </c>
      <c r="H3" s="3">
        <v>449</v>
      </c>
      <c r="I3" s="2">
        <v>449</v>
      </c>
    </row>
    <row r="4" spans="1:9">
      <c r="A4" s="2">
        <v>3</v>
      </c>
      <c r="B4" s="2" t="s">
        <v>916</v>
      </c>
      <c r="C4" s="2" t="s">
        <v>915</v>
      </c>
      <c r="D4" s="2">
        <v>3</v>
      </c>
      <c r="E4" s="2">
        <v>14165</v>
      </c>
      <c r="F4" s="2">
        <v>10352</v>
      </c>
      <c r="G4" s="2">
        <v>8988</v>
      </c>
      <c r="H4" s="3">
        <v>449</v>
      </c>
      <c r="I4" s="2">
        <v>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0"/>
  <sheetViews>
    <sheetView workbookViewId="0">
      <pane ySplit="1" topLeftCell="A2" activePane="bottomLeft" state="frozen"/>
      <selection pane="bottomLeft"/>
    </sheetView>
  </sheetViews>
  <sheetFormatPr defaultRowHeight="14.4"/>
  <cols>
    <col min="3" max="3" width="36.44140625" customWidth="1"/>
    <col min="4" max="4" width="33.5546875" customWidth="1"/>
  </cols>
  <sheetData>
    <row r="1" spans="1:16">
      <c r="A1" t="s">
        <v>0</v>
      </c>
      <c r="B1" t="s">
        <v>3</v>
      </c>
      <c r="C1" t="s">
        <v>1</v>
      </c>
      <c r="D1" t="s">
        <v>2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7" t="s">
        <v>14</v>
      </c>
      <c r="P1" s="7" t="s">
        <v>15</v>
      </c>
    </row>
    <row r="2" spans="1:16">
      <c r="A2">
        <v>51703.44</v>
      </c>
      <c r="B2">
        <v>36</v>
      </c>
      <c r="C2" t="s">
        <v>16</v>
      </c>
      <c r="D2" t="s">
        <v>17</v>
      </c>
      <c r="E2">
        <v>32</v>
      </c>
      <c r="F2">
        <v>35</v>
      </c>
      <c r="G2">
        <v>33</v>
      </c>
      <c r="H2">
        <v>16475084</v>
      </c>
      <c r="I2">
        <v>19065078</v>
      </c>
      <c r="J2">
        <v>17133122</v>
      </c>
      <c r="K2">
        <v>23.973782485200498</v>
      </c>
      <c r="L2">
        <v>24.1844290977137</v>
      </c>
      <c r="M2">
        <v>24.0302847276897</v>
      </c>
      <c r="N2">
        <v>7277890</v>
      </c>
      <c r="O2">
        <v>7414971.9000000004</v>
      </c>
      <c r="P2">
        <v>8452846.5999999996</v>
      </c>
    </row>
    <row r="3" spans="1:16">
      <c r="A3">
        <v>42650.25</v>
      </c>
      <c r="B3">
        <v>32</v>
      </c>
      <c r="C3" t="s">
        <v>18</v>
      </c>
      <c r="D3" t="s">
        <v>19</v>
      </c>
      <c r="E3">
        <v>32</v>
      </c>
      <c r="F3">
        <v>32</v>
      </c>
      <c r="G3">
        <v>31</v>
      </c>
      <c r="H3">
        <v>70684920</v>
      </c>
      <c r="I3">
        <v>69721272</v>
      </c>
      <c r="J3">
        <v>71742472</v>
      </c>
      <c r="K3">
        <v>26.074899125897399</v>
      </c>
      <c r="L3">
        <v>26.0550955545493</v>
      </c>
      <c r="M3">
        <v>26.0963241206959</v>
      </c>
      <c r="N3">
        <v>28390773.5</v>
      </c>
      <c r="O3">
        <v>26733954.5</v>
      </c>
      <c r="P3">
        <v>28277888.800000001</v>
      </c>
    </row>
    <row r="4" spans="1:16">
      <c r="A4">
        <v>20634.82</v>
      </c>
      <c r="B4">
        <v>14</v>
      </c>
      <c r="C4" t="s">
        <v>20</v>
      </c>
      <c r="D4" t="s">
        <v>21</v>
      </c>
      <c r="E4">
        <v>13</v>
      </c>
      <c r="F4">
        <v>14</v>
      </c>
      <c r="G4">
        <v>12</v>
      </c>
      <c r="H4">
        <v>11332174</v>
      </c>
      <c r="I4">
        <v>11859099</v>
      </c>
      <c r="J4">
        <v>11641793</v>
      </c>
      <c r="K4">
        <v>23.433921323088299</v>
      </c>
      <c r="L4">
        <v>23.499491068900699</v>
      </c>
      <c r="M4">
        <v>23.4728099349147</v>
      </c>
      <c r="N4">
        <v>4996651.2</v>
      </c>
      <c r="O4">
        <v>5030800.5</v>
      </c>
      <c r="P4">
        <v>5072283.0999999996</v>
      </c>
    </row>
    <row r="5" spans="1:16">
      <c r="A5">
        <v>31177.25</v>
      </c>
      <c r="B5">
        <v>18</v>
      </c>
      <c r="C5" t="s">
        <v>22</v>
      </c>
      <c r="D5" t="s">
        <v>23</v>
      </c>
      <c r="E5">
        <v>18</v>
      </c>
      <c r="F5">
        <v>18</v>
      </c>
      <c r="G5">
        <v>18</v>
      </c>
      <c r="H5">
        <v>6010977</v>
      </c>
      <c r="I5">
        <v>6578658</v>
      </c>
      <c r="J5">
        <v>6321979.5</v>
      </c>
      <c r="K5">
        <v>22.5191680691625</v>
      </c>
      <c r="L5">
        <v>22.6493618836484</v>
      </c>
      <c r="M5">
        <v>22.5919449264115</v>
      </c>
      <c r="N5">
        <v>1733641</v>
      </c>
      <c r="O5">
        <v>1786950.2</v>
      </c>
      <c r="P5">
        <v>1752392.5</v>
      </c>
    </row>
    <row r="6" spans="1:16">
      <c r="A6">
        <v>42663.7</v>
      </c>
      <c r="B6">
        <v>25</v>
      </c>
      <c r="C6" t="s">
        <v>24</v>
      </c>
      <c r="D6" t="s">
        <v>25</v>
      </c>
      <c r="E6">
        <v>25</v>
      </c>
      <c r="F6">
        <v>25</v>
      </c>
      <c r="G6">
        <v>25</v>
      </c>
      <c r="H6">
        <v>9121058</v>
      </c>
      <c r="I6">
        <v>9337687</v>
      </c>
      <c r="J6">
        <v>8603950</v>
      </c>
      <c r="K6">
        <v>23.1207697492869</v>
      </c>
      <c r="L6">
        <v>23.154633799463902</v>
      </c>
      <c r="M6">
        <v>23.036567710198302</v>
      </c>
      <c r="N6">
        <v>3109443.6</v>
      </c>
      <c r="O6">
        <v>3133194.2</v>
      </c>
      <c r="P6">
        <v>3181872.8</v>
      </c>
    </row>
    <row r="7" spans="1:16">
      <c r="A7">
        <v>71584.33</v>
      </c>
      <c r="B7">
        <v>48</v>
      </c>
      <c r="C7" t="s">
        <v>26</v>
      </c>
      <c r="D7" t="s">
        <v>27</v>
      </c>
      <c r="E7">
        <v>47</v>
      </c>
      <c r="F7">
        <v>47</v>
      </c>
      <c r="G7">
        <v>45</v>
      </c>
      <c r="H7">
        <v>28500596</v>
      </c>
      <c r="I7">
        <v>30586750</v>
      </c>
      <c r="J7">
        <v>28034728</v>
      </c>
      <c r="K7">
        <v>24.764488753217101</v>
      </c>
      <c r="L7">
        <v>24.8664034854595</v>
      </c>
      <c r="M7">
        <v>24.740711736692599</v>
      </c>
      <c r="N7">
        <v>10306394.4</v>
      </c>
      <c r="O7">
        <v>9832511</v>
      </c>
      <c r="P7">
        <v>10029234.199999999</v>
      </c>
    </row>
    <row r="8" spans="1:16">
      <c r="A8">
        <v>94519.89</v>
      </c>
      <c r="B8">
        <v>61</v>
      </c>
      <c r="C8" t="s">
        <v>28</v>
      </c>
      <c r="D8" t="s">
        <v>29</v>
      </c>
      <c r="E8">
        <v>58</v>
      </c>
      <c r="F8">
        <v>61</v>
      </c>
      <c r="G8">
        <v>58</v>
      </c>
      <c r="H8">
        <v>68259864</v>
      </c>
      <c r="I8">
        <v>69964488</v>
      </c>
      <c r="J8">
        <v>68833824</v>
      </c>
      <c r="K8">
        <v>26.0245342042457</v>
      </c>
      <c r="L8">
        <v>26.060119500750499</v>
      </c>
      <c r="M8">
        <v>26.036614323991099</v>
      </c>
      <c r="N8">
        <v>18153747</v>
      </c>
      <c r="O8">
        <v>17947204.800000001</v>
      </c>
      <c r="P8">
        <v>18195352.300000001</v>
      </c>
    </row>
    <row r="9" spans="1:16">
      <c r="A9">
        <v>34308.79</v>
      </c>
      <c r="B9">
        <v>2</v>
      </c>
      <c r="C9" t="s">
        <v>30</v>
      </c>
      <c r="D9" t="s">
        <v>31</v>
      </c>
      <c r="E9">
        <v>2</v>
      </c>
      <c r="F9">
        <v>2</v>
      </c>
      <c r="G9">
        <v>2</v>
      </c>
      <c r="H9">
        <v>9666237</v>
      </c>
      <c r="I9">
        <v>6670084.5</v>
      </c>
      <c r="J9">
        <v>7939845.5</v>
      </c>
      <c r="K9">
        <v>23.204522936998199</v>
      </c>
      <c r="L9">
        <v>22.669273607639301</v>
      </c>
      <c r="M9">
        <v>22.920679503826801</v>
      </c>
      <c r="N9">
        <v>1331471.6000000001</v>
      </c>
      <c r="O9">
        <v>1124452</v>
      </c>
      <c r="P9">
        <v>1323307.6000000001</v>
      </c>
    </row>
    <row r="10" spans="1:16">
      <c r="A10">
        <v>97529.25</v>
      </c>
      <c r="B10">
        <v>30</v>
      </c>
      <c r="C10" t="s">
        <v>32</v>
      </c>
      <c r="D10" t="s">
        <v>33</v>
      </c>
      <c r="E10">
        <v>30</v>
      </c>
      <c r="F10">
        <v>30</v>
      </c>
      <c r="G10">
        <v>29</v>
      </c>
      <c r="H10">
        <v>6185140</v>
      </c>
      <c r="I10">
        <v>5701052</v>
      </c>
      <c r="J10">
        <v>5889693.5</v>
      </c>
      <c r="K10">
        <v>22.560374820147398</v>
      </c>
      <c r="L10">
        <v>22.442796729854901</v>
      </c>
      <c r="M10">
        <v>22.4897611273976</v>
      </c>
      <c r="N10">
        <v>2537248.2999999998</v>
      </c>
      <c r="O10">
        <v>2513791.5</v>
      </c>
      <c r="P10">
        <v>2524039</v>
      </c>
    </row>
    <row r="11" spans="1:16">
      <c r="A11">
        <v>59923.16</v>
      </c>
      <c r="B11">
        <v>38</v>
      </c>
      <c r="C11" t="s">
        <v>34</v>
      </c>
      <c r="D11" t="s">
        <v>35</v>
      </c>
      <c r="E11">
        <v>36</v>
      </c>
      <c r="F11">
        <v>38</v>
      </c>
      <c r="G11">
        <v>36</v>
      </c>
      <c r="H11">
        <v>11334095</v>
      </c>
      <c r="I11">
        <v>11037380</v>
      </c>
      <c r="J11">
        <v>10815602</v>
      </c>
      <c r="K11">
        <v>23.4341658641886</v>
      </c>
      <c r="L11">
        <v>23.395894416980301</v>
      </c>
      <c r="M11">
        <v>23.366610632631499</v>
      </c>
      <c r="N11">
        <v>2963772</v>
      </c>
      <c r="O11">
        <v>2980101.9</v>
      </c>
      <c r="P11">
        <v>3102920.4</v>
      </c>
    </row>
    <row r="12" spans="1:16">
      <c r="A12">
        <v>60712.68</v>
      </c>
      <c r="B12">
        <v>31</v>
      </c>
      <c r="C12" t="s">
        <v>36</v>
      </c>
      <c r="D12" t="s">
        <v>37</v>
      </c>
      <c r="E12">
        <v>29</v>
      </c>
      <c r="F12">
        <v>31</v>
      </c>
      <c r="G12">
        <v>28</v>
      </c>
      <c r="H12">
        <v>14361153</v>
      </c>
      <c r="I12">
        <v>14911529</v>
      </c>
      <c r="J12">
        <v>14453763</v>
      </c>
      <c r="K12">
        <v>23.775668246283701</v>
      </c>
      <c r="L12">
        <v>23.8299248606404</v>
      </c>
      <c r="M12">
        <v>23.784941807780498</v>
      </c>
      <c r="N12">
        <v>4604636</v>
      </c>
      <c r="O12">
        <v>4455405.3</v>
      </c>
      <c r="P12">
        <v>4309018.5999999996</v>
      </c>
    </row>
    <row r="13" spans="1:16">
      <c r="A13">
        <v>59376.959999999999</v>
      </c>
      <c r="B13">
        <v>31</v>
      </c>
      <c r="C13" t="s">
        <v>38</v>
      </c>
      <c r="D13" t="s">
        <v>39</v>
      </c>
      <c r="E13">
        <v>27</v>
      </c>
      <c r="F13">
        <v>29</v>
      </c>
      <c r="G13">
        <v>29</v>
      </c>
      <c r="H13">
        <v>27258720</v>
      </c>
      <c r="I13">
        <v>27489710</v>
      </c>
      <c r="J13">
        <v>27747370</v>
      </c>
      <c r="K13">
        <v>24.700214482663899</v>
      </c>
      <c r="L13">
        <v>24.712388351572798</v>
      </c>
      <c r="M13">
        <v>24.725847698096899</v>
      </c>
      <c r="N13">
        <v>13067806.5</v>
      </c>
      <c r="O13">
        <v>13118540.5</v>
      </c>
      <c r="P13">
        <v>13502818.699999999</v>
      </c>
    </row>
    <row r="14" spans="1:16">
      <c r="A14">
        <v>72545.279999999999</v>
      </c>
      <c r="B14">
        <v>50</v>
      </c>
      <c r="C14" t="s">
        <v>40</v>
      </c>
      <c r="D14" t="s">
        <v>41</v>
      </c>
      <c r="E14">
        <v>47</v>
      </c>
      <c r="F14">
        <v>50</v>
      </c>
      <c r="G14">
        <v>45</v>
      </c>
      <c r="H14">
        <v>20818408</v>
      </c>
      <c r="I14">
        <v>21393982</v>
      </c>
      <c r="J14">
        <v>21251624</v>
      </c>
      <c r="K14">
        <v>24.311356413044699</v>
      </c>
      <c r="L14">
        <v>24.350701696363199</v>
      </c>
      <c r="M14">
        <v>24.341069757095902</v>
      </c>
      <c r="N14">
        <v>10619010.300000001</v>
      </c>
      <c r="O14">
        <v>10528381</v>
      </c>
      <c r="P14">
        <v>10798888.699999999</v>
      </c>
    </row>
    <row r="15" spans="1:16">
      <c r="A15">
        <v>8914.74</v>
      </c>
      <c r="B15">
        <v>13</v>
      </c>
      <c r="C15" t="s">
        <v>42</v>
      </c>
      <c r="D15" t="s">
        <v>43</v>
      </c>
      <c r="E15">
        <v>13</v>
      </c>
      <c r="F15">
        <v>13</v>
      </c>
      <c r="G15">
        <v>13</v>
      </c>
      <c r="H15">
        <v>21415540</v>
      </c>
      <c r="I15">
        <v>30216422</v>
      </c>
      <c r="J15">
        <v>23116590</v>
      </c>
      <c r="K15">
        <v>24.352154719936799</v>
      </c>
      <c r="L15">
        <v>24.8488295018001</v>
      </c>
      <c r="M15">
        <v>24.462425261318099</v>
      </c>
      <c r="N15">
        <v>38088989.100000001</v>
      </c>
      <c r="O15">
        <v>30448205.800000001</v>
      </c>
      <c r="P15">
        <v>36297024.200000003</v>
      </c>
    </row>
    <row r="16" spans="1:16">
      <c r="A16">
        <v>16621.439999999999</v>
      </c>
      <c r="B16">
        <v>7</v>
      </c>
      <c r="C16" t="s">
        <v>44</v>
      </c>
      <c r="D16" t="s">
        <v>45</v>
      </c>
      <c r="E16">
        <v>7</v>
      </c>
      <c r="F16">
        <v>7</v>
      </c>
      <c r="G16">
        <v>6</v>
      </c>
      <c r="H16">
        <v>38300872</v>
      </c>
      <c r="I16">
        <v>36935048</v>
      </c>
      <c r="J16">
        <v>37832120</v>
      </c>
      <c r="K16">
        <v>25.1908739027261</v>
      </c>
      <c r="L16">
        <v>25.138487116759599</v>
      </c>
      <c r="M16">
        <v>25.173108287222899</v>
      </c>
      <c r="N16">
        <v>18154740.199999999</v>
      </c>
      <c r="O16">
        <v>18477521.600000001</v>
      </c>
      <c r="P16">
        <v>18322982.899999999</v>
      </c>
    </row>
    <row r="17" spans="1:16">
      <c r="A17">
        <v>16117.57</v>
      </c>
      <c r="B17">
        <v>13</v>
      </c>
      <c r="C17" t="s">
        <v>46</v>
      </c>
      <c r="D17" t="s">
        <v>47</v>
      </c>
      <c r="E17">
        <v>11</v>
      </c>
      <c r="F17">
        <v>13</v>
      </c>
      <c r="G17">
        <v>12</v>
      </c>
      <c r="H17">
        <v>62495268</v>
      </c>
      <c r="I17">
        <v>96422872</v>
      </c>
      <c r="J17">
        <v>66027172</v>
      </c>
      <c r="K17">
        <v>25.897243620524101</v>
      </c>
      <c r="L17">
        <v>26.5228720659271</v>
      </c>
      <c r="M17">
        <v>25.9765565196283</v>
      </c>
      <c r="N17">
        <v>49498273.100000001</v>
      </c>
      <c r="O17">
        <v>59190799</v>
      </c>
      <c r="P17">
        <v>52760525.799999997</v>
      </c>
    </row>
    <row r="18" spans="1:16">
      <c r="A18">
        <v>22306.69</v>
      </c>
      <c r="B18">
        <v>21</v>
      </c>
      <c r="C18" t="s">
        <v>48</v>
      </c>
      <c r="D18" t="s">
        <v>49</v>
      </c>
      <c r="E18">
        <v>21</v>
      </c>
      <c r="F18">
        <v>21</v>
      </c>
      <c r="G18">
        <v>21</v>
      </c>
      <c r="H18">
        <v>102937776</v>
      </c>
      <c r="I18">
        <v>108179360</v>
      </c>
      <c r="J18">
        <v>105017312</v>
      </c>
      <c r="K18">
        <v>26.617197277254999</v>
      </c>
      <c r="L18">
        <v>26.6888500265988</v>
      </c>
      <c r="M18">
        <v>26.646051933445499</v>
      </c>
      <c r="N18">
        <v>94603269.099999994</v>
      </c>
      <c r="O18">
        <v>92377469.5</v>
      </c>
      <c r="P18">
        <v>95650942.400000006</v>
      </c>
    </row>
    <row r="19" spans="1:16">
      <c r="A19">
        <v>38760.629999999997</v>
      </c>
      <c r="B19">
        <v>30</v>
      </c>
      <c r="C19" t="s">
        <v>50</v>
      </c>
      <c r="D19" t="s">
        <v>51</v>
      </c>
      <c r="E19">
        <v>29</v>
      </c>
      <c r="F19">
        <v>30</v>
      </c>
      <c r="G19">
        <v>29</v>
      </c>
      <c r="H19">
        <v>33252090</v>
      </c>
      <c r="I19">
        <v>34346416</v>
      </c>
      <c r="J19">
        <v>35032776</v>
      </c>
      <c r="K19">
        <v>24.986941685663702</v>
      </c>
      <c r="L19">
        <v>25.0336562279189</v>
      </c>
      <c r="M19">
        <v>25.0622019761526</v>
      </c>
      <c r="N19">
        <v>27049031.899999999</v>
      </c>
      <c r="O19">
        <v>27667978.100000001</v>
      </c>
      <c r="P19">
        <v>26856070.100000001</v>
      </c>
    </row>
    <row r="20" spans="1:16">
      <c r="A20">
        <v>121612.42</v>
      </c>
      <c r="B20">
        <v>49</v>
      </c>
      <c r="C20" t="s">
        <v>52</v>
      </c>
      <c r="D20" t="s">
        <v>53</v>
      </c>
      <c r="E20">
        <v>49</v>
      </c>
      <c r="F20">
        <v>49</v>
      </c>
      <c r="G20">
        <v>49</v>
      </c>
      <c r="H20">
        <v>9948050</v>
      </c>
      <c r="I20">
        <v>9847427</v>
      </c>
      <c r="J20">
        <v>10685331</v>
      </c>
      <c r="K20">
        <v>23.2459823280421</v>
      </c>
      <c r="L20">
        <v>23.231315386354801</v>
      </c>
      <c r="M20">
        <v>23.349128263333402</v>
      </c>
      <c r="N20">
        <v>1876077.5</v>
      </c>
      <c r="O20">
        <v>1718071.6</v>
      </c>
      <c r="P20">
        <v>2197361.2000000002</v>
      </c>
    </row>
    <row r="21" spans="1:16">
      <c r="A21">
        <v>206394.1</v>
      </c>
      <c r="B21">
        <v>65</v>
      </c>
      <c r="C21" t="s">
        <v>54</v>
      </c>
      <c r="D21" t="s">
        <v>55</v>
      </c>
      <c r="E21">
        <v>63</v>
      </c>
      <c r="F21">
        <v>64</v>
      </c>
      <c r="G21">
        <v>62</v>
      </c>
      <c r="H21">
        <v>7349253.5</v>
      </c>
      <c r="I21">
        <v>6866343.5</v>
      </c>
      <c r="J21">
        <v>6839317.5</v>
      </c>
      <c r="K21">
        <v>22.809166285049599</v>
      </c>
      <c r="L21">
        <v>22.711110601590299</v>
      </c>
      <c r="M21">
        <v>22.7054209341294</v>
      </c>
      <c r="N21">
        <v>483308.4</v>
      </c>
      <c r="O21">
        <v>311295</v>
      </c>
      <c r="P21">
        <v>468034.5</v>
      </c>
    </row>
    <row r="22" spans="1:16">
      <c r="A22">
        <v>71686.16</v>
      </c>
      <c r="B22">
        <v>49</v>
      </c>
      <c r="C22" t="s">
        <v>56</v>
      </c>
      <c r="D22" t="s">
        <v>57</v>
      </c>
      <c r="E22">
        <v>49</v>
      </c>
      <c r="F22">
        <v>49</v>
      </c>
      <c r="G22">
        <v>48</v>
      </c>
      <c r="H22">
        <v>45990776</v>
      </c>
      <c r="I22">
        <v>44881884</v>
      </c>
      <c r="J22">
        <v>45745064</v>
      </c>
      <c r="K22">
        <v>25.454841204653999</v>
      </c>
      <c r="L22">
        <v>25.419629901219</v>
      </c>
      <c r="M22">
        <v>25.447112745818</v>
      </c>
      <c r="N22">
        <v>27744765.399999999</v>
      </c>
      <c r="O22">
        <v>25528144.199999999</v>
      </c>
      <c r="P22">
        <v>27359512.699999999</v>
      </c>
    </row>
    <row r="23" spans="1:16">
      <c r="A23">
        <v>47538.09</v>
      </c>
      <c r="B23">
        <v>25</v>
      </c>
      <c r="C23" t="s">
        <v>58</v>
      </c>
      <c r="D23" t="s">
        <v>59</v>
      </c>
      <c r="E23">
        <v>25</v>
      </c>
      <c r="F23">
        <v>25</v>
      </c>
      <c r="G23">
        <v>25</v>
      </c>
      <c r="H23">
        <v>3534661.75</v>
      </c>
      <c r="I23">
        <v>3530949.25</v>
      </c>
      <c r="J23">
        <v>3402106.5</v>
      </c>
      <c r="K23">
        <v>21.753140732040301</v>
      </c>
      <c r="L23">
        <v>21.751624654851099</v>
      </c>
      <c r="M23">
        <v>21.697996873352199</v>
      </c>
      <c r="N23">
        <v>2420530</v>
      </c>
      <c r="O23">
        <v>2403882.4</v>
      </c>
      <c r="P23">
        <v>2516927.7999999998</v>
      </c>
    </row>
    <row r="24" spans="1:16">
      <c r="A24">
        <v>31401.23</v>
      </c>
      <c r="B24">
        <v>18</v>
      </c>
      <c r="C24" t="s">
        <v>60</v>
      </c>
      <c r="D24" t="s">
        <v>61</v>
      </c>
      <c r="E24">
        <v>16</v>
      </c>
      <c r="F24">
        <v>18</v>
      </c>
      <c r="G24">
        <v>16</v>
      </c>
      <c r="H24">
        <v>53087512</v>
      </c>
      <c r="I24">
        <v>52092452</v>
      </c>
      <c r="J24">
        <v>56964828</v>
      </c>
      <c r="K24">
        <v>25.6618691938937</v>
      </c>
      <c r="L24">
        <v>25.6345710107834</v>
      </c>
      <c r="M24">
        <v>25.7635680899484</v>
      </c>
      <c r="N24">
        <v>25605591</v>
      </c>
      <c r="O24">
        <v>22747839.899999999</v>
      </c>
      <c r="P24">
        <v>24192718.399999999</v>
      </c>
    </row>
    <row r="25" spans="1:16">
      <c r="A25">
        <v>27853.43</v>
      </c>
      <c r="B25">
        <v>13</v>
      </c>
      <c r="C25" t="s">
        <v>62</v>
      </c>
      <c r="D25" t="s">
        <v>63</v>
      </c>
      <c r="E25">
        <v>11</v>
      </c>
      <c r="F25">
        <v>13</v>
      </c>
      <c r="G25">
        <v>10</v>
      </c>
      <c r="H25">
        <v>7152248.5</v>
      </c>
      <c r="I25">
        <v>7592294.5</v>
      </c>
      <c r="J25">
        <v>7960146</v>
      </c>
      <c r="K25">
        <v>22.769965432172199</v>
      </c>
      <c r="L25">
        <v>22.856104523939401</v>
      </c>
      <c r="M25">
        <v>22.924363461342299</v>
      </c>
      <c r="N25">
        <v>2415054.2999999998</v>
      </c>
      <c r="O25">
        <v>2599348.2000000002</v>
      </c>
      <c r="P25">
        <v>2472794.1</v>
      </c>
    </row>
    <row r="26" spans="1:16">
      <c r="A26">
        <v>28733.23</v>
      </c>
      <c r="B26">
        <v>10</v>
      </c>
      <c r="C26" t="s">
        <v>64</v>
      </c>
      <c r="D26" t="s">
        <v>65</v>
      </c>
      <c r="E26">
        <v>10</v>
      </c>
      <c r="F26">
        <v>10</v>
      </c>
      <c r="G26">
        <v>10</v>
      </c>
      <c r="H26">
        <v>4780915</v>
      </c>
      <c r="I26">
        <v>4858662.5</v>
      </c>
      <c r="J26">
        <v>5057529</v>
      </c>
      <c r="K26">
        <v>22.188855325528799</v>
      </c>
      <c r="L26">
        <v>22.212127790524502</v>
      </c>
      <c r="M26">
        <v>22.270001256581502</v>
      </c>
      <c r="N26">
        <v>2120823.1</v>
      </c>
      <c r="O26">
        <v>2136680.4</v>
      </c>
      <c r="P26">
        <v>2330139.1</v>
      </c>
    </row>
    <row r="27" spans="1:16">
      <c r="A27">
        <v>24437.07</v>
      </c>
      <c r="B27">
        <v>12</v>
      </c>
      <c r="C27" t="s">
        <v>66</v>
      </c>
      <c r="D27" t="s">
        <v>67</v>
      </c>
      <c r="E27">
        <v>12</v>
      </c>
      <c r="F27">
        <v>12</v>
      </c>
      <c r="G27">
        <v>11</v>
      </c>
      <c r="H27">
        <v>19030634</v>
      </c>
      <c r="I27">
        <v>20325000</v>
      </c>
      <c r="J27">
        <v>19287936</v>
      </c>
      <c r="K27">
        <v>24.181820289586899</v>
      </c>
      <c r="L27">
        <v>24.2767520165118</v>
      </c>
      <c r="M27">
        <v>24.201195433213801</v>
      </c>
      <c r="N27">
        <v>13101485.800000001</v>
      </c>
      <c r="O27">
        <v>13451391.1</v>
      </c>
      <c r="P27">
        <v>13463879.800000001</v>
      </c>
    </row>
    <row r="28" spans="1:16">
      <c r="A28">
        <v>22366.86</v>
      </c>
      <c r="B28">
        <v>10</v>
      </c>
      <c r="C28" t="s">
        <v>68</v>
      </c>
      <c r="D28" t="s">
        <v>69</v>
      </c>
      <c r="E28">
        <v>10</v>
      </c>
      <c r="F28">
        <v>10</v>
      </c>
      <c r="G28">
        <v>10</v>
      </c>
      <c r="H28">
        <v>3498579.75</v>
      </c>
      <c r="I28">
        <v>3774816.75</v>
      </c>
      <c r="J28">
        <v>3846870.25</v>
      </c>
      <c r="K28">
        <v>21.738337947533399</v>
      </c>
      <c r="L28">
        <v>21.847975179249701</v>
      </c>
      <c r="M28">
        <v>21.8752537395258</v>
      </c>
      <c r="N28">
        <v>1531304.7</v>
      </c>
      <c r="O28">
        <v>1587687</v>
      </c>
      <c r="P28">
        <v>1732968.8</v>
      </c>
    </row>
    <row r="29" spans="1:16">
      <c r="A29">
        <v>77056.09</v>
      </c>
      <c r="B29">
        <v>30</v>
      </c>
      <c r="C29" t="s">
        <v>70</v>
      </c>
      <c r="D29" t="s">
        <v>71</v>
      </c>
      <c r="E29">
        <v>29</v>
      </c>
      <c r="F29">
        <v>30</v>
      </c>
      <c r="G29">
        <v>27</v>
      </c>
      <c r="H29">
        <v>8728919</v>
      </c>
      <c r="I29">
        <v>8128530</v>
      </c>
      <c r="J29">
        <v>8970482</v>
      </c>
      <c r="K29">
        <v>23.057371569123401</v>
      </c>
      <c r="L29">
        <v>22.9545630417397</v>
      </c>
      <c r="M29">
        <v>23.0967540751295</v>
      </c>
      <c r="N29">
        <v>1962505.5</v>
      </c>
      <c r="O29">
        <v>1923449.6</v>
      </c>
      <c r="P29">
        <v>2042008.7</v>
      </c>
    </row>
    <row r="30" spans="1:16">
      <c r="A30">
        <v>17462.75</v>
      </c>
      <c r="B30">
        <v>12</v>
      </c>
      <c r="C30" t="s">
        <v>72</v>
      </c>
      <c r="D30" t="s">
        <v>73</v>
      </c>
      <c r="E30">
        <v>11</v>
      </c>
      <c r="F30">
        <v>11</v>
      </c>
      <c r="G30">
        <v>11</v>
      </c>
      <c r="H30">
        <v>40341228</v>
      </c>
      <c r="I30">
        <v>32562864</v>
      </c>
      <c r="J30">
        <v>39570440</v>
      </c>
      <c r="K30">
        <v>25.265751664933401</v>
      </c>
      <c r="L30">
        <v>24.956724258683199</v>
      </c>
      <c r="M30">
        <v>25.237919771530901</v>
      </c>
      <c r="N30">
        <v>35240633</v>
      </c>
      <c r="O30">
        <v>27396499.5</v>
      </c>
      <c r="P30">
        <v>34040845.600000001</v>
      </c>
    </row>
    <row r="31" spans="1:16">
      <c r="A31">
        <v>31128.51</v>
      </c>
      <c r="B31">
        <v>7</v>
      </c>
      <c r="C31" t="s">
        <v>74</v>
      </c>
      <c r="D31" t="s">
        <v>75</v>
      </c>
      <c r="E31">
        <v>7</v>
      </c>
      <c r="F31">
        <v>7</v>
      </c>
      <c r="G31">
        <v>7</v>
      </c>
      <c r="H31">
        <v>3646304.5</v>
      </c>
      <c r="I31">
        <v>3874610</v>
      </c>
      <c r="J31">
        <v>4224690</v>
      </c>
      <c r="K31">
        <v>21.7980036140519</v>
      </c>
      <c r="L31">
        <v>21.885619672128598</v>
      </c>
      <c r="M31">
        <v>22.010414052287999</v>
      </c>
      <c r="N31">
        <v>2035190.7</v>
      </c>
      <c r="O31">
        <v>1452427.3</v>
      </c>
      <c r="P31">
        <v>2021436</v>
      </c>
    </row>
    <row r="32" spans="1:16">
      <c r="A32">
        <v>48761.08</v>
      </c>
      <c r="B32">
        <v>33</v>
      </c>
      <c r="C32" t="s">
        <v>76</v>
      </c>
      <c r="D32" t="s">
        <v>77</v>
      </c>
      <c r="E32">
        <v>32</v>
      </c>
      <c r="F32">
        <v>33</v>
      </c>
      <c r="G32">
        <v>32</v>
      </c>
      <c r="H32">
        <v>67659080</v>
      </c>
      <c r="I32">
        <v>62824712</v>
      </c>
      <c r="J32">
        <v>63830044</v>
      </c>
      <c r="K32">
        <v>26.0117802243103</v>
      </c>
      <c r="L32">
        <v>25.904828816754002</v>
      </c>
      <c r="M32">
        <v>25.927732306499301</v>
      </c>
      <c r="N32">
        <v>31378595.800000001</v>
      </c>
      <c r="O32">
        <v>31838387.399999999</v>
      </c>
      <c r="P32">
        <v>33164594.199999999</v>
      </c>
    </row>
    <row r="33" spans="1:16">
      <c r="A33">
        <v>36430.17</v>
      </c>
      <c r="B33">
        <v>21</v>
      </c>
      <c r="C33" t="s">
        <v>78</v>
      </c>
      <c r="D33" t="s">
        <v>79</v>
      </c>
      <c r="E33">
        <v>21</v>
      </c>
      <c r="F33">
        <v>21</v>
      </c>
      <c r="G33">
        <v>20</v>
      </c>
      <c r="H33">
        <v>3846520.5</v>
      </c>
      <c r="I33">
        <v>3855718.25</v>
      </c>
      <c r="J33">
        <v>3946143.5</v>
      </c>
      <c r="K33">
        <v>21.875122566521</v>
      </c>
      <c r="L33">
        <v>21.878568202277201</v>
      </c>
      <c r="M33">
        <v>21.9120119893932</v>
      </c>
      <c r="N33">
        <v>2038696.5</v>
      </c>
      <c r="O33">
        <v>1975902.6</v>
      </c>
      <c r="P33">
        <v>2129717.7999999998</v>
      </c>
    </row>
    <row r="34" spans="1:16">
      <c r="A34">
        <v>58092.37</v>
      </c>
      <c r="B34">
        <v>38</v>
      </c>
      <c r="C34" t="s">
        <v>80</v>
      </c>
      <c r="D34" t="s">
        <v>81</v>
      </c>
      <c r="E34">
        <v>37</v>
      </c>
      <c r="F34">
        <v>38</v>
      </c>
      <c r="G34">
        <v>36</v>
      </c>
      <c r="H34">
        <v>32182676</v>
      </c>
      <c r="I34">
        <v>30984512</v>
      </c>
      <c r="J34">
        <v>28910390</v>
      </c>
      <c r="K34">
        <v>24.939780955823402</v>
      </c>
      <c r="L34">
        <v>24.885043910535401</v>
      </c>
      <c r="M34">
        <v>24.7850847350559</v>
      </c>
      <c r="N34">
        <v>8970727.5</v>
      </c>
      <c r="O34">
        <v>9225689.3000000007</v>
      </c>
      <c r="P34">
        <v>9146721.5</v>
      </c>
    </row>
    <row r="35" spans="1:16">
      <c r="A35">
        <v>11519.46</v>
      </c>
      <c r="B35">
        <v>8</v>
      </c>
      <c r="C35" t="s">
        <v>82</v>
      </c>
      <c r="D35" t="s">
        <v>83</v>
      </c>
      <c r="E35">
        <v>8</v>
      </c>
      <c r="F35">
        <v>8</v>
      </c>
      <c r="G35">
        <v>8</v>
      </c>
      <c r="H35">
        <v>12834614</v>
      </c>
      <c r="I35">
        <v>3453471.5</v>
      </c>
      <c r="J35">
        <v>16661774</v>
      </c>
      <c r="K35">
        <v>23.6135365718381</v>
      </c>
      <c r="L35">
        <v>21.7196158870874</v>
      </c>
      <c r="M35">
        <v>23.990038678645401</v>
      </c>
      <c r="N35">
        <v>14957913</v>
      </c>
      <c r="O35">
        <v>5641714.0999999996</v>
      </c>
      <c r="P35">
        <v>27217983</v>
      </c>
    </row>
    <row r="36" spans="1:16">
      <c r="A36">
        <v>32163.85</v>
      </c>
      <c r="B36">
        <v>25</v>
      </c>
      <c r="C36" t="s">
        <v>84</v>
      </c>
      <c r="D36" t="s">
        <v>85</v>
      </c>
      <c r="E36">
        <v>25</v>
      </c>
      <c r="F36">
        <v>25</v>
      </c>
      <c r="G36">
        <v>25</v>
      </c>
      <c r="H36">
        <v>116360328</v>
      </c>
      <c r="I36">
        <v>121954528</v>
      </c>
      <c r="J36">
        <v>121560848</v>
      </c>
      <c r="K36">
        <v>26.794024027367701</v>
      </c>
      <c r="L36">
        <v>26.861768083464</v>
      </c>
      <c r="M36">
        <v>26.8571034032468</v>
      </c>
      <c r="N36">
        <v>55831964.100000001</v>
      </c>
      <c r="O36">
        <v>57195093.399999999</v>
      </c>
      <c r="P36">
        <v>57500325.799999997</v>
      </c>
    </row>
    <row r="37" spans="1:16">
      <c r="A37">
        <v>52480.72</v>
      </c>
      <c r="B37">
        <v>39</v>
      </c>
      <c r="C37" t="s">
        <v>86</v>
      </c>
      <c r="D37" t="s">
        <v>87</v>
      </c>
      <c r="E37">
        <v>34</v>
      </c>
      <c r="F37">
        <v>39</v>
      </c>
      <c r="G37">
        <v>34</v>
      </c>
      <c r="H37">
        <v>98196792</v>
      </c>
      <c r="I37">
        <v>117400928</v>
      </c>
      <c r="J37">
        <v>99081848</v>
      </c>
      <c r="K37">
        <v>26.5491725579848</v>
      </c>
      <c r="L37">
        <v>26.806868571428499</v>
      </c>
      <c r="M37">
        <v>26.562117441108001</v>
      </c>
      <c r="N37">
        <v>26192999.800000001</v>
      </c>
      <c r="O37">
        <v>28079777</v>
      </c>
      <c r="P37">
        <v>25869384.399999999</v>
      </c>
    </row>
    <row r="38" spans="1:16">
      <c r="A38">
        <v>31605.62</v>
      </c>
      <c r="B38">
        <v>11</v>
      </c>
      <c r="C38" t="s">
        <v>88</v>
      </c>
      <c r="D38" t="s">
        <v>89</v>
      </c>
      <c r="E38">
        <v>10</v>
      </c>
      <c r="F38">
        <v>11</v>
      </c>
      <c r="G38">
        <v>11</v>
      </c>
      <c r="H38">
        <v>8203036</v>
      </c>
      <c r="I38">
        <v>7880631</v>
      </c>
      <c r="J38">
        <v>8223031.5</v>
      </c>
      <c r="K38">
        <v>22.967726529238501</v>
      </c>
      <c r="L38">
        <v>22.9098797198338</v>
      </c>
      <c r="M38">
        <v>22.971238924757301</v>
      </c>
      <c r="N38">
        <v>2183215.1</v>
      </c>
      <c r="O38">
        <v>2290837.5</v>
      </c>
      <c r="P38">
        <v>2481432.6</v>
      </c>
    </row>
    <row r="39" spans="1:16">
      <c r="A39">
        <v>35060.519999999997</v>
      </c>
      <c r="B39">
        <v>14</v>
      </c>
      <c r="C39" t="s">
        <v>90</v>
      </c>
      <c r="D39" t="s">
        <v>91</v>
      </c>
      <c r="E39">
        <v>14</v>
      </c>
      <c r="F39">
        <v>14</v>
      </c>
      <c r="G39">
        <v>13</v>
      </c>
      <c r="H39">
        <v>5983037.5</v>
      </c>
      <c r="I39">
        <v>5846741.5</v>
      </c>
      <c r="J39">
        <v>5727227</v>
      </c>
      <c r="K39">
        <v>22.512446674753001</v>
      </c>
      <c r="L39">
        <v>22.4792013766643</v>
      </c>
      <c r="M39">
        <v>22.449405355480401</v>
      </c>
      <c r="N39">
        <v>3027767.7</v>
      </c>
      <c r="O39">
        <v>2865826.4</v>
      </c>
      <c r="P39">
        <v>2996157.3</v>
      </c>
    </row>
    <row r="40" spans="1:16">
      <c r="A40">
        <v>8317.4699999999993</v>
      </c>
      <c r="B40">
        <v>8</v>
      </c>
      <c r="C40" t="s">
        <v>92</v>
      </c>
      <c r="D40" t="s">
        <v>93</v>
      </c>
      <c r="E40">
        <v>8</v>
      </c>
      <c r="F40">
        <v>8</v>
      </c>
      <c r="G40">
        <v>8</v>
      </c>
      <c r="H40">
        <v>2630927.5</v>
      </c>
      <c r="I40">
        <v>2764111</v>
      </c>
      <c r="J40">
        <v>2129036.5</v>
      </c>
      <c r="K40">
        <v>21.3271400622857</v>
      </c>
      <c r="L40">
        <v>21.398384121350599</v>
      </c>
      <c r="M40">
        <v>21.021769252753401</v>
      </c>
      <c r="N40">
        <v>4965716.4000000004</v>
      </c>
      <c r="O40">
        <v>5208094.9000000004</v>
      </c>
      <c r="P40">
        <v>5520334.2999999998</v>
      </c>
    </row>
    <row r="41" spans="1:16">
      <c r="A41">
        <v>50428.06</v>
      </c>
      <c r="B41">
        <v>18</v>
      </c>
      <c r="C41" t="s">
        <v>94</v>
      </c>
      <c r="D41" t="s">
        <v>95</v>
      </c>
      <c r="E41">
        <v>17</v>
      </c>
      <c r="F41">
        <v>18</v>
      </c>
      <c r="G41">
        <v>18</v>
      </c>
      <c r="H41">
        <v>23555610</v>
      </c>
      <c r="I41">
        <v>21734734</v>
      </c>
      <c r="J41">
        <v>22449090</v>
      </c>
      <c r="K41">
        <v>24.489567356972199</v>
      </c>
      <c r="L41">
        <v>24.373499103548301</v>
      </c>
      <c r="M41">
        <v>24.420153629040001</v>
      </c>
      <c r="N41">
        <v>4618948</v>
      </c>
      <c r="O41">
        <v>4262310.0999999996</v>
      </c>
      <c r="P41">
        <v>4512944.7</v>
      </c>
    </row>
    <row r="42" spans="1:16">
      <c r="A42">
        <v>8954.41</v>
      </c>
      <c r="B42">
        <v>3</v>
      </c>
      <c r="C42" t="s">
        <v>96</v>
      </c>
      <c r="D42" t="s">
        <v>97</v>
      </c>
      <c r="E42">
        <v>3</v>
      </c>
      <c r="F42">
        <v>3</v>
      </c>
      <c r="G42">
        <v>3</v>
      </c>
      <c r="H42">
        <v>3334096.5</v>
      </c>
      <c r="I42">
        <v>3721725</v>
      </c>
      <c r="J42">
        <v>4764045</v>
      </c>
      <c r="K42">
        <v>21.668864430713999</v>
      </c>
      <c r="L42">
        <v>21.8275400272484</v>
      </c>
      <c r="M42">
        <v>22.183755609933801</v>
      </c>
      <c r="N42">
        <v>11160561</v>
      </c>
      <c r="O42">
        <v>12087968.5</v>
      </c>
      <c r="P42">
        <v>10611932.1</v>
      </c>
    </row>
    <row r="43" spans="1:16">
      <c r="A43">
        <v>27421.7</v>
      </c>
      <c r="B43">
        <v>2</v>
      </c>
      <c r="C43" t="s">
        <v>98</v>
      </c>
      <c r="D43" t="s">
        <v>99</v>
      </c>
      <c r="E43">
        <v>2</v>
      </c>
      <c r="F43">
        <v>2</v>
      </c>
      <c r="G43">
        <v>1</v>
      </c>
      <c r="H43">
        <v>148483.5</v>
      </c>
      <c r="I43">
        <v>77491.9765625</v>
      </c>
      <c r="J43">
        <v>150786.3125</v>
      </c>
      <c r="K43">
        <v>17.1799430971076</v>
      </c>
      <c r="L43">
        <v>16.241759322546301</v>
      </c>
      <c r="M43">
        <v>17.202145949564599</v>
      </c>
      <c r="N43">
        <v>54798.1</v>
      </c>
      <c r="O43">
        <v>26052.2</v>
      </c>
      <c r="P43">
        <v>32117.1</v>
      </c>
    </row>
    <row r="44" spans="1:16">
      <c r="A44">
        <v>107631.03999999999</v>
      </c>
      <c r="B44">
        <v>93</v>
      </c>
      <c r="C44" t="s">
        <v>100</v>
      </c>
      <c r="D44" t="s">
        <v>101</v>
      </c>
      <c r="E44">
        <v>87</v>
      </c>
      <c r="F44">
        <v>93</v>
      </c>
      <c r="G44">
        <v>86</v>
      </c>
      <c r="H44">
        <v>80450840</v>
      </c>
      <c r="I44">
        <v>84762760</v>
      </c>
      <c r="J44">
        <v>84537224</v>
      </c>
      <c r="K44">
        <v>26.261604148646899</v>
      </c>
      <c r="L44">
        <v>26.336927228956601</v>
      </c>
      <c r="M44">
        <v>26.333083402707601</v>
      </c>
      <c r="N44">
        <v>37025709.399999999</v>
      </c>
      <c r="O44">
        <v>36651335.299999997</v>
      </c>
      <c r="P44">
        <v>37728737.600000001</v>
      </c>
    </row>
    <row r="45" spans="1:16">
      <c r="A45">
        <v>35420.199999999997</v>
      </c>
      <c r="B45">
        <v>17</v>
      </c>
      <c r="C45" t="s">
        <v>102</v>
      </c>
      <c r="D45" t="s">
        <v>103</v>
      </c>
      <c r="E45">
        <v>16</v>
      </c>
      <c r="F45">
        <v>17</v>
      </c>
      <c r="G45">
        <v>17</v>
      </c>
      <c r="H45">
        <v>5615426</v>
      </c>
      <c r="I45">
        <v>5547986.5</v>
      </c>
      <c r="J45">
        <v>5452390.5</v>
      </c>
      <c r="K45">
        <v>22.420964042488698</v>
      </c>
      <c r="L45">
        <v>22.403532846458099</v>
      </c>
      <c r="M45">
        <v>22.378457460931401</v>
      </c>
      <c r="N45">
        <v>2113933.2000000002</v>
      </c>
      <c r="O45">
        <v>2015560.9</v>
      </c>
      <c r="P45">
        <v>2055194.8</v>
      </c>
    </row>
    <row r="46" spans="1:16">
      <c r="A46">
        <v>8408.5</v>
      </c>
      <c r="B46">
        <v>4</v>
      </c>
      <c r="C46" t="s">
        <v>104</v>
      </c>
      <c r="D46" t="s">
        <v>105</v>
      </c>
      <c r="E46">
        <v>4</v>
      </c>
      <c r="F46">
        <v>4</v>
      </c>
      <c r="G46">
        <v>4</v>
      </c>
      <c r="H46">
        <v>2713965</v>
      </c>
      <c r="I46">
        <v>859465.3125</v>
      </c>
      <c r="J46">
        <v>3008743.25</v>
      </c>
      <c r="K46">
        <v>21.371970684829598</v>
      </c>
      <c r="L46">
        <v>19.7130798890161</v>
      </c>
      <c r="M46">
        <v>21.5207295693966</v>
      </c>
      <c r="N46">
        <v>4126669.2</v>
      </c>
      <c r="O46">
        <v>1368665.6</v>
      </c>
      <c r="P46">
        <v>3790256</v>
      </c>
    </row>
    <row r="47" spans="1:16">
      <c r="A47">
        <v>54420.67</v>
      </c>
      <c r="B47">
        <v>22</v>
      </c>
      <c r="C47" t="s">
        <v>106</v>
      </c>
      <c r="D47" t="s">
        <v>107</v>
      </c>
      <c r="E47">
        <v>21</v>
      </c>
      <c r="F47">
        <v>22</v>
      </c>
      <c r="G47">
        <v>21</v>
      </c>
      <c r="H47">
        <v>1424162.75</v>
      </c>
      <c r="I47">
        <v>1373517.875</v>
      </c>
      <c r="J47">
        <v>1443429.875</v>
      </c>
      <c r="K47">
        <v>20.4416825928765</v>
      </c>
      <c r="L47">
        <v>20.389444255133601</v>
      </c>
      <c r="M47">
        <v>20.461069589300401</v>
      </c>
      <c r="N47">
        <v>418821.1</v>
      </c>
      <c r="O47">
        <v>400307.9</v>
      </c>
      <c r="P47">
        <v>446142.3</v>
      </c>
    </row>
    <row r="48" spans="1:16">
      <c r="A48">
        <v>15564.11</v>
      </c>
      <c r="B48">
        <v>6</v>
      </c>
      <c r="C48" t="s">
        <v>108</v>
      </c>
      <c r="D48" t="s">
        <v>109</v>
      </c>
      <c r="E48">
        <v>6</v>
      </c>
      <c r="F48">
        <v>6</v>
      </c>
      <c r="G48">
        <v>6</v>
      </c>
      <c r="H48">
        <v>4265695</v>
      </c>
      <c r="I48">
        <v>4525065</v>
      </c>
      <c r="J48">
        <v>4874405.5</v>
      </c>
      <c r="K48">
        <v>22.024349385045301</v>
      </c>
      <c r="L48">
        <v>22.109507085167301</v>
      </c>
      <c r="M48">
        <v>22.216794842647399</v>
      </c>
      <c r="N48">
        <v>1735426.4</v>
      </c>
      <c r="O48">
        <v>1891666.7</v>
      </c>
      <c r="P48">
        <v>2010621</v>
      </c>
    </row>
    <row r="49" spans="1:16">
      <c r="A49">
        <v>41594.89</v>
      </c>
      <c r="B49">
        <v>24</v>
      </c>
      <c r="C49" t="s">
        <v>110</v>
      </c>
      <c r="D49" t="s">
        <v>111</v>
      </c>
      <c r="E49">
        <v>23</v>
      </c>
      <c r="F49">
        <v>24</v>
      </c>
      <c r="G49">
        <v>23</v>
      </c>
      <c r="H49">
        <v>6686093.5</v>
      </c>
      <c r="I49">
        <v>6984470</v>
      </c>
      <c r="J49">
        <v>6884688</v>
      </c>
      <c r="K49">
        <v>22.672732099428</v>
      </c>
      <c r="L49">
        <v>22.735719213608601</v>
      </c>
      <c r="M49">
        <v>22.7149598451728</v>
      </c>
      <c r="N49">
        <v>3141066</v>
      </c>
      <c r="O49">
        <v>3480093.1</v>
      </c>
      <c r="P49">
        <v>3225938.4</v>
      </c>
    </row>
    <row r="50" spans="1:16">
      <c r="A50">
        <v>33130.019999999997</v>
      </c>
      <c r="B50">
        <v>15</v>
      </c>
      <c r="C50" t="s">
        <v>112</v>
      </c>
      <c r="D50" t="s">
        <v>113</v>
      </c>
      <c r="E50">
        <v>15</v>
      </c>
      <c r="F50">
        <v>15</v>
      </c>
      <c r="G50">
        <v>15</v>
      </c>
      <c r="H50">
        <v>3680836.75</v>
      </c>
      <c r="I50">
        <v>3572250</v>
      </c>
      <c r="J50">
        <v>3411282.25</v>
      </c>
      <c r="K50">
        <v>21.811602335023199</v>
      </c>
      <c r="L50">
        <v>21.768401618747198</v>
      </c>
      <c r="M50">
        <v>21.701882698016</v>
      </c>
      <c r="N50">
        <v>808337.2</v>
      </c>
      <c r="O50">
        <v>814363.4</v>
      </c>
      <c r="P50">
        <v>775701.3</v>
      </c>
    </row>
    <row r="51" spans="1:16">
      <c r="A51">
        <v>52780.47</v>
      </c>
      <c r="B51">
        <v>15</v>
      </c>
      <c r="C51" t="s">
        <v>114</v>
      </c>
      <c r="D51" t="s">
        <v>115</v>
      </c>
      <c r="E51">
        <v>14</v>
      </c>
      <c r="F51">
        <v>15</v>
      </c>
      <c r="G51">
        <v>15</v>
      </c>
      <c r="H51">
        <v>2986485.75</v>
      </c>
      <c r="I51">
        <v>3294254.75</v>
      </c>
      <c r="J51">
        <v>3328929.5</v>
      </c>
      <c r="K51">
        <v>21.510017407308801</v>
      </c>
      <c r="L51">
        <v>21.651520694622299</v>
      </c>
      <c r="M51">
        <v>21.666626886760099</v>
      </c>
      <c r="N51">
        <v>975687.9</v>
      </c>
      <c r="O51">
        <v>984799.5</v>
      </c>
      <c r="P51">
        <v>1018610.3</v>
      </c>
    </row>
    <row r="52" spans="1:16">
      <c r="A52">
        <v>35820.949999999997</v>
      </c>
      <c r="B52">
        <v>16</v>
      </c>
      <c r="C52" t="s">
        <v>116</v>
      </c>
      <c r="D52" t="s">
        <v>117</v>
      </c>
      <c r="E52">
        <v>15</v>
      </c>
      <c r="F52">
        <v>16</v>
      </c>
      <c r="G52">
        <v>16</v>
      </c>
      <c r="H52">
        <v>3600645.75</v>
      </c>
      <c r="I52">
        <v>3939898.25</v>
      </c>
      <c r="J52">
        <v>3247469.75</v>
      </c>
      <c r="K52">
        <v>21.779824236095202</v>
      </c>
      <c r="L52">
        <v>21.9097269411083</v>
      </c>
      <c r="M52">
        <v>21.630884656435899</v>
      </c>
      <c r="N52">
        <v>1021464.1</v>
      </c>
      <c r="O52">
        <v>1093091.3999999999</v>
      </c>
      <c r="P52">
        <v>1053324.1000000001</v>
      </c>
    </row>
    <row r="53" spans="1:16">
      <c r="A53">
        <v>33068.089999999997</v>
      </c>
      <c r="B53">
        <v>31</v>
      </c>
      <c r="C53" t="s">
        <v>118</v>
      </c>
      <c r="D53" t="s">
        <v>119</v>
      </c>
      <c r="E53">
        <v>30</v>
      </c>
      <c r="F53">
        <v>31</v>
      </c>
      <c r="G53">
        <v>30</v>
      </c>
      <c r="H53">
        <v>74986448</v>
      </c>
      <c r="I53">
        <v>78547480</v>
      </c>
      <c r="J53">
        <v>72289168</v>
      </c>
      <c r="K53">
        <v>26.160126550889199</v>
      </c>
      <c r="L53">
        <v>26.227061655201101</v>
      </c>
      <c r="M53">
        <v>26.107276150344401</v>
      </c>
      <c r="N53">
        <v>38385836.600000001</v>
      </c>
      <c r="O53">
        <v>39182737.299999997</v>
      </c>
      <c r="P53">
        <v>38851401.600000001</v>
      </c>
    </row>
    <row r="54" spans="1:16">
      <c r="A54">
        <v>17491.73</v>
      </c>
      <c r="B54">
        <v>8</v>
      </c>
      <c r="C54" t="s">
        <v>120</v>
      </c>
      <c r="D54" t="s">
        <v>121</v>
      </c>
      <c r="E54">
        <v>8</v>
      </c>
      <c r="F54">
        <v>8</v>
      </c>
      <c r="G54">
        <v>8</v>
      </c>
      <c r="H54">
        <v>5759255.5</v>
      </c>
      <c r="I54">
        <v>5821626</v>
      </c>
      <c r="J54">
        <v>6147007.5</v>
      </c>
      <c r="K54">
        <v>22.4574508955961</v>
      </c>
      <c r="L54">
        <v>22.4729907283869</v>
      </c>
      <c r="M54">
        <v>22.5514528146362</v>
      </c>
      <c r="N54">
        <v>2519608.2999999998</v>
      </c>
      <c r="O54">
        <v>2529753.7999999998</v>
      </c>
      <c r="P54">
        <v>2671399.7000000002</v>
      </c>
    </row>
    <row r="55" spans="1:16">
      <c r="A55">
        <v>28544.21</v>
      </c>
      <c r="B55">
        <v>5</v>
      </c>
      <c r="C55" t="s">
        <v>122</v>
      </c>
      <c r="D55" t="s">
        <v>123</v>
      </c>
      <c r="E55">
        <v>5</v>
      </c>
      <c r="F55">
        <v>5</v>
      </c>
      <c r="G55">
        <v>5</v>
      </c>
      <c r="H55">
        <v>2432093.25</v>
      </c>
      <c r="I55">
        <v>2432592.75</v>
      </c>
      <c r="J55">
        <v>2099466.5</v>
      </c>
      <c r="K55">
        <v>21.213767114196699</v>
      </c>
      <c r="L55">
        <v>21.2140633825172</v>
      </c>
      <c r="M55">
        <v>21.0015913374116</v>
      </c>
      <c r="N55">
        <v>759433.6</v>
      </c>
      <c r="O55">
        <v>764860.9</v>
      </c>
      <c r="P55">
        <v>650186.6</v>
      </c>
    </row>
    <row r="56" spans="1:16">
      <c r="A56">
        <v>56389.2</v>
      </c>
      <c r="B56">
        <v>30</v>
      </c>
      <c r="C56" t="s">
        <v>124</v>
      </c>
      <c r="D56" t="s">
        <v>125</v>
      </c>
      <c r="E56">
        <v>29</v>
      </c>
      <c r="F56">
        <v>30</v>
      </c>
      <c r="G56">
        <v>29</v>
      </c>
      <c r="H56">
        <v>18298218</v>
      </c>
      <c r="I56">
        <v>20030354</v>
      </c>
      <c r="J56">
        <v>18798904</v>
      </c>
      <c r="K56">
        <v>24.125199820494402</v>
      </c>
      <c r="L56">
        <v>24.255684582592799</v>
      </c>
      <c r="M56">
        <v>24.164145217611399</v>
      </c>
      <c r="N56">
        <v>5282307.0999999996</v>
      </c>
      <c r="O56">
        <v>5483012.0999999996</v>
      </c>
      <c r="P56">
        <v>5289333.7</v>
      </c>
    </row>
    <row r="57" spans="1:16">
      <c r="A57">
        <v>47943.47</v>
      </c>
      <c r="B57">
        <v>21</v>
      </c>
      <c r="C57" t="s">
        <v>126</v>
      </c>
      <c r="D57" t="s">
        <v>127</v>
      </c>
      <c r="E57">
        <v>18</v>
      </c>
      <c r="F57">
        <v>20</v>
      </c>
      <c r="G57">
        <v>20</v>
      </c>
      <c r="H57">
        <v>7075802.5</v>
      </c>
      <c r="I57">
        <v>7691745.5</v>
      </c>
      <c r="J57">
        <v>6555994</v>
      </c>
      <c r="K57">
        <v>22.7544623493696</v>
      </c>
      <c r="L57">
        <v>22.8748795977375</v>
      </c>
      <c r="M57">
        <v>22.644383103417699</v>
      </c>
      <c r="N57">
        <v>2277862.7000000002</v>
      </c>
      <c r="O57">
        <v>2424340</v>
      </c>
      <c r="P57">
        <v>2411901.2999999998</v>
      </c>
    </row>
    <row r="58" spans="1:16">
      <c r="A58">
        <v>16713.96</v>
      </c>
      <c r="B58">
        <v>8</v>
      </c>
      <c r="C58" t="s">
        <v>128</v>
      </c>
      <c r="D58" t="s">
        <v>129</v>
      </c>
      <c r="E58">
        <v>8</v>
      </c>
      <c r="F58">
        <v>8</v>
      </c>
      <c r="G58">
        <v>7</v>
      </c>
      <c r="H58">
        <v>15836608</v>
      </c>
      <c r="I58">
        <v>13465959</v>
      </c>
      <c r="J58">
        <v>16798748</v>
      </c>
      <c r="K58">
        <v>23.9167600257896</v>
      </c>
      <c r="L58">
        <v>23.6828136415652</v>
      </c>
      <c r="M58">
        <v>24.0018503780787</v>
      </c>
      <c r="N58">
        <v>10794774.1</v>
      </c>
      <c r="O58">
        <v>8800418.8000000007</v>
      </c>
      <c r="P58">
        <v>11222475.699999999</v>
      </c>
    </row>
    <row r="59" spans="1:16">
      <c r="A59">
        <v>59651.56</v>
      </c>
      <c r="B59">
        <v>49</v>
      </c>
      <c r="C59" t="s">
        <v>130</v>
      </c>
      <c r="D59" t="s">
        <v>131</v>
      </c>
      <c r="E59">
        <v>47</v>
      </c>
      <c r="F59">
        <v>49</v>
      </c>
      <c r="G59">
        <v>46</v>
      </c>
      <c r="H59">
        <v>141281312</v>
      </c>
      <c r="I59">
        <v>144396112</v>
      </c>
      <c r="J59">
        <v>152696640</v>
      </c>
      <c r="K59">
        <v>27.073995404756602</v>
      </c>
      <c r="L59">
        <v>27.105456655937299</v>
      </c>
      <c r="M59">
        <v>27.186093075924699</v>
      </c>
      <c r="N59">
        <v>33323094.899999999</v>
      </c>
      <c r="O59">
        <v>32402251.300000001</v>
      </c>
      <c r="P59">
        <v>37195065.100000001</v>
      </c>
    </row>
    <row r="60" spans="1:16">
      <c r="A60">
        <v>32786.81</v>
      </c>
      <c r="B60">
        <v>17</v>
      </c>
      <c r="C60" t="s">
        <v>132</v>
      </c>
      <c r="D60" t="s">
        <v>133</v>
      </c>
      <c r="E60">
        <v>16</v>
      </c>
      <c r="F60">
        <v>17</v>
      </c>
      <c r="G60">
        <v>16</v>
      </c>
      <c r="H60">
        <v>59292784</v>
      </c>
      <c r="I60">
        <v>64378060</v>
      </c>
      <c r="J60">
        <v>57764720</v>
      </c>
      <c r="K60">
        <v>25.821353202020301</v>
      </c>
      <c r="L60">
        <v>25.940065766802999</v>
      </c>
      <c r="M60">
        <v>25.7836852949819</v>
      </c>
      <c r="N60">
        <v>21522978.199999999</v>
      </c>
      <c r="O60">
        <v>22645695.300000001</v>
      </c>
      <c r="P60">
        <v>21834239.600000001</v>
      </c>
    </row>
    <row r="61" spans="1:16">
      <c r="A61">
        <v>41351.78</v>
      </c>
      <c r="B61">
        <v>23</v>
      </c>
      <c r="C61" t="s">
        <v>134</v>
      </c>
      <c r="D61" t="s">
        <v>135</v>
      </c>
      <c r="E61">
        <v>22</v>
      </c>
      <c r="F61">
        <v>23</v>
      </c>
      <c r="G61">
        <v>22</v>
      </c>
      <c r="H61">
        <v>20197848</v>
      </c>
      <c r="I61">
        <v>23509488</v>
      </c>
      <c r="J61">
        <v>21806552</v>
      </c>
      <c r="K61">
        <v>24.267698251984701</v>
      </c>
      <c r="L61">
        <v>24.486739783895601</v>
      </c>
      <c r="M61">
        <v>24.378258336723299</v>
      </c>
      <c r="N61">
        <v>8374208.4000000004</v>
      </c>
      <c r="O61">
        <v>8775085.8000000007</v>
      </c>
      <c r="P61">
        <v>8826563.0999999996</v>
      </c>
    </row>
    <row r="62" spans="1:16">
      <c r="A62">
        <v>87118.8</v>
      </c>
      <c r="B62">
        <v>43</v>
      </c>
      <c r="C62" t="s">
        <v>136</v>
      </c>
      <c r="D62" t="s">
        <v>137</v>
      </c>
      <c r="E62">
        <v>42</v>
      </c>
      <c r="F62">
        <v>43</v>
      </c>
      <c r="G62">
        <v>40</v>
      </c>
      <c r="H62">
        <v>12674628</v>
      </c>
      <c r="I62">
        <v>12332517</v>
      </c>
      <c r="J62">
        <v>12519945</v>
      </c>
      <c r="K62">
        <v>23.5954400689998</v>
      </c>
      <c r="L62">
        <v>23.5559639402565</v>
      </c>
      <c r="M62">
        <v>23.5777248887503</v>
      </c>
      <c r="N62">
        <v>3078508.8</v>
      </c>
      <c r="O62">
        <v>3288645.1</v>
      </c>
      <c r="P62">
        <v>3331868.3</v>
      </c>
    </row>
    <row r="63" spans="1:16">
      <c r="A63">
        <v>10444.85</v>
      </c>
      <c r="B63">
        <v>5</v>
      </c>
      <c r="C63" t="s">
        <v>138</v>
      </c>
      <c r="D63" t="s">
        <v>139</v>
      </c>
      <c r="E63">
        <v>4</v>
      </c>
      <c r="F63">
        <v>5</v>
      </c>
      <c r="G63">
        <v>5</v>
      </c>
      <c r="H63">
        <v>4923353</v>
      </c>
      <c r="I63">
        <v>6518584.5</v>
      </c>
      <c r="J63">
        <v>5767458</v>
      </c>
      <c r="K63">
        <v>22.2312097525475</v>
      </c>
      <c r="L63">
        <v>22.6361272889128</v>
      </c>
      <c r="M63">
        <v>22.459504162222402</v>
      </c>
      <c r="N63">
        <v>14915072.6</v>
      </c>
      <c r="O63">
        <v>18597391.100000001</v>
      </c>
      <c r="P63">
        <v>17215867.600000001</v>
      </c>
    </row>
    <row r="64" spans="1:16">
      <c r="A64">
        <v>75481.41</v>
      </c>
      <c r="B64">
        <v>39</v>
      </c>
      <c r="C64" t="s">
        <v>140</v>
      </c>
      <c r="D64" t="s">
        <v>141</v>
      </c>
      <c r="E64">
        <v>37</v>
      </c>
      <c r="F64">
        <v>39</v>
      </c>
      <c r="G64">
        <v>37</v>
      </c>
      <c r="H64">
        <v>21846852</v>
      </c>
      <c r="I64">
        <v>23167406</v>
      </c>
      <c r="J64">
        <v>22764922</v>
      </c>
      <c r="K64">
        <v>24.3809220752334</v>
      </c>
      <c r="L64">
        <v>24.4655931822839</v>
      </c>
      <c r="M64">
        <v>24.440309180436302</v>
      </c>
      <c r="N64">
        <v>5349029.4000000004</v>
      </c>
      <c r="O64">
        <v>5501861.5</v>
      </c>
      <c r="P64">
        <v>5153755.0999999996</v>
      </c>
    </row>
    <row r="65" spans="1:16">
      <c r="A65">
        <v>36092.93</v>
      </c>
      <c r="B65">
        <v>20</v>
      </c>
      <c r="C65" t="s">
        <v>142</v>
      </c>
      <c r="D65" t="s">
        <v>143</v>
      </c>
      <c r="E65">
        <v>18</v>
      </c>
      <c r="F65">
        <v>19</v>
      </c>
      <c r="G65">
        <v>19</v>
      </c>
      <c r="H65">
        <v>20081730</v>
      </c>
      <c r="I65">
        <v>21098528</v>
      </c>
      <c r="J65">
        <v>19971490</v>
      </c>
      <c r="K65">
        <v>24.259380224083401</v>
      </c>
      <c r="L65">
        <v>24.330639012851101</v>
      </c>
      <c r="M65">
        <v>24.251438635221799</v>
      </c>
      <c r="N65">
        <v>6140798.7000000002</v>
      </c>
      <c r="O65">
        <v>6410502.4000000004</v>
      </c>
      <c r="P65">
        <v>6365314.4000000004</v>
      </c>
    </row>
    <row r="66" spans="1:16">
      <c r="A66">
        <v>23942.560000000001</v>
      </c>
      <c r="B66">
        <v>14</v>
      </c>
      <c r="C66" t="s">
        <v>144</v>
      </c>
      <c r="D66" t="s">
        <v>145</v>
      </c>
      <c r="E66">
        <v>13</v>
      </c>
      <c r="F66">
        <v>14</v>
      </c>
      <c r="G66">
        <v>14</v>
      </c>
      <c r="H66">
        <v>9914823</v>
      </c>
      <c r="I66">
        <v>9121306</v>
      </c>
      <c r="J66">
        <v>8800071</v>
      </c>
      <c r="K66">
        <v>23.2411555869319</v>
      </c>
      <c r="L66">
        <v>23.120808975384001</v>
      </c>
      <c r="M66">
        <v>23.069083732953001</v>
      </c>
      <c r="N66">
        <v>7074843.5999999996</v>
      </c>
      <c r="O66">
        <v>6234230.7000000002</v>
      </c>
      <c r="P66">
        <v>7141966.4000000004</v>
      </c>
    </row>
    <row r="67" spans="1:16">
      <c r="A67">
        <v>41294.620000000003</v>
      </c>
      <c r="B67">
        <v>27</v>
      </c>
      <c r="C67" t="s">
        <v>146</v>
      </c>
      <c r="D67" t="s">
        <v>147</v>
      </c>
      <c r="E67">
        <v>27</v>
      </c>
      <c r="F67">
        <v>27</v>
      </c>
      <c r="G67">
        <v>27</v>
      </c>
      <c r="H67">
        <v>71936160</v>
      </c>
      <c r="I67">
        <v>68627656</v>
      </c>
      <c r="J67">
        <v>69588192</v>
      </c>
      <c r="K67">
        <v>26.1002138137207</v>
      </c>
      <c r="L67">
        <v>26.0322867440143</v>
      </c>
      <c r="M67">
        <v>26.052339188844801</v>
      </c>
      <c r="N67">
        <v>19035509</v>
      </c>
      <c r="O67">
        <v>17774103.899999999</v>
      </c>
      <c r="P67">
        <v>16959303.5</v>
      </c>
    </row>
    <row r="68" spans="1:16">
      <c r="A68">
        <v>33025.35</v>
      </c>
      <c r="B68">
        <v>17</v>
      </c>
      <c r="C68" t="s">
        <v>148</v>
      </c>
      <c r="D68" t="s">
        <v>149</v>
      </c>
      <c r="E68">
        <v>15</v>
      </c>
      <c r="F68">
        <v>16</v>
      </c>
      <c r="G68">
        <v>15</v>
      </c>
      <c r="H68">
        <v>3689230.5</v>
      </c>
      <c r="I68">
        <v>3141077.5</v>
      </c>
      <c r="J68">
        <v>3352340.25</v>
      </c>
      <c r="K68">
        <v>21.814888499538299</v>
      </c>
      <c r="L68">
        <v>21.582828108457399</v>
      </c>
      <c r="M68">
        <v>21.676737153944799</v>
      </c>
      <c r="N68">
        <v>1210861.8999999999</v>
      </c>
      <c r="O68">
        <v>1090190.1000000001</v>
      </c>
      <c r="P68">
        <v>1045412.5</v>
      </c>
    </row>
    <row r="69" spans="1:16">
      <c r="A69">
        <v>57466.14</v>
      </c>
      <c r="B69">
        <v>13</v>
      </c>
      <c r="C69" t="s">
        <v>150</v>
      </c>
      <c r="D69" t="s">
        <v>151</v>
      </c>
      <c r="E69">
        <v>12</v>
      </c>
      <c r="F69">
        <v>13</v>
      </c>
      <c r="G69">
        <v>13</v>
      </c>
      <c r="H69">
        <v>1809572.875</v>
      </c>
      <c r="I69">
        <v>1567845.875</v>
      </c>
      <c r="J69">
        <v>1778743.75</v>
      </c>
      <c r="K69">
        <v>20.7872177783245</v>
      </c>
      <c r="L69">
        <v>20.580352313533599</v>
      </c>
      <c r="M69">
        <v>20.762427256864399</v>
      </c>
      <c r="N69">
        <v>432408.7</v>
      </c>
      <c r="O69">
        <v>389869.4</v>
      </c>
      <c r="P69">
        <v>414713.7</v>
      </c>
    </row>
    <row r="70" spans="1:16">
      <c r="A70">
        <v>19056.2</v>
      </c>
      <c r="B70">
        <v>6</v>
      </c>
      <c r="C70" t="s">
        <v>152</v>
      </c>
      <c r="D70" t="s">
        <v>153</v>
      </c>
      <c r="E70">
        <v>5</v>
      </c>
      <c r="F70">
        <v>6</v>
      </c>
      <c r="G70">
        <v>6</v>
      </c>
      <c r="H70">
        <v>3435964.75</v>
      </c>
      <c r="I70">
        <v>3472106.25</v>
      </c>
      <c r="J70">
        <v>3483768.25</v>
      </c>
      <c r="K70">
        <v>21.712283805084201</v>
      </c>
      <c r="L70">
        <v>21.727379665724801</v>
      </c>
      <c r="M70">
        <v>21.732217224346901</v>
      </c>
      <c r="N70">
        <v>2551472</v>
      </c>
      <c r="O70">
        <v>2578395.4</v>
      </c>
      <c r="P70">
        <v>2491905.9</v>
      </c>
    </row>
    <row r="71" spans="1:16">
      <c r="A71">
        <v>35439.980000000003</v>
      </c>
      <c r="B71">
        <v>23</v>
      </c>
      <c r="C71" t="s">
        <v>154</v>
      </c>
      <c r="D71" t="s">
        <v>155</v>
      </c>
      <c r="E71">
        <v>22</v>
      </c>
      <c r="F71">
        <v>23</v>
      </c>
      <c r="G71">
        <v>21</v>
      </c>
      <c r="H71">
        <v>41261496</v>
      </c>
      <c r="I71">
        <v>42140348</v>
      </c>
      <c r="J71">
        <v>37911532</v>
      </c>
      <c r="K71">
        <v>25.2982927935468</v>
      </c>
      <c r="L71">
        <v>25.328698892362901</v>
      </c>
      <c r="M71">
        <v>25.176133421014001</v>
      </c>
      <c r="N71">
        <v>14715767.199999999</v>
      </c>
      <c r="O71">
        <v>13556293.6</v>
      </c>
      <c r="P71">
        <v>14102384.5</v>
      </c>
    </row>
    <row r="72" spans="1:16">
      <c r="A72">
        <v>28902.15</v>
      </c>
      <c r="B72">
        <v>11</v>
      </c>
      <c r="C72" t="s">
        <v>156</v>
      </c>
      <c r="D72" t="s">
        <v>157</v>
      </c>
      <c r="E72">
        <v>10</v>
      </c>
      <c r="F72">
        <v>11</v>
      </c>
      <c r="G72">
        <v>9</v>
      </c>
      <c r="H72">
        <v>1696522</v>
      </c>
      <c r="I72">
        <v>1921481.25</v>
      </c>
      <c r="J72">
        <v>1923599.25</v>
      </c>
      <c r="K72">
        <v>20.694148707940698</v>
      </c>
      <c r="L72">
        <v>20.873787467835701</v>
      </c>
      <c r="M72">
        <v>20.875376838152199</v>
      </c>
      <c r="N72">
        <v>799310.4</v>
      </c>
      <c r="O72">
        <v>942988.4</v>
      </c>
      <c r="P72">
        <v>839753</v>
      </c>
    </row>
    <row r="73" spans="1:16">
      <c r="A73">
        <v>59892.95</v>
      </c>
      <c r="B73">
        <v>20</v>
      </c>
      <c r="C73" t="s">
        <v>158</v>
      </c>
      <c r="D73" t="s">
        <v>159</v>
      </c>
      <c r="E73">
        <v>20</v>
      </c>
      <c r="F73">
        <v>20</v>
      </c>
      <c r="G73">
        <v>20</v>
      </c>
      <c r="H73">
        <v>4755063</v>
      </c>
      <c r="I73">
        <v>4536843</v>
      </c>
      <c r="J73">
        <v>4277102.5</v>
      </c>
      <c r="K73">
        <v>22.181033024854901</v>
      </c>
      <c r="L73">
        <v>22.113257304604499</v>
      </c>
      <c r="M73">
        <v>22.028202350882498</v>
      </c>
      <c r="N73">
        <v>1026337.8</v>
      </c>
      <c r="O73">
        <v>961150.9</v>
      </c>
      <c r="P73">
        <v>1013431.1</v>
      </c>
    </row>
    <row r="74" spans="1:16">
      <c r="A74">
        <v>15489.35</v>
      </c>
      <c r="B74">
        <v>10</v>
      </c>
      <c r="C74" t="s">
        <v>160</v>
      </c>
      <c r="D74" t="s">
        <v>161</v>
      </c>
      <c r="E74">
        <v>9</v>
      </c>
      <c r="F74">
        <v>10</v>
      </c>
      <c r="G74">
        <v>9</v>
      </c>
      <c r="H74">
        <v>55852636</v>
      </c>
      <c r="I74">
        <v>59003260</v>
      </c>
      <c r="J74">
        <v>53268960</v>
      </c>
      <c r="K74">
        <v>25.735122035419401</v>
      </c>
      <c r="L74">
        <v>25.814291331497898</v>
      </c>
      <c r="M74">
        <v>25.666791778835201</v>
      </c>
      <c r="N74">
        <v>31797335.699999999</v>
      </c>
      <c r="O74">
        <v>39309621</v>
      </c>
      <c r="P74">
        <v>45817326.200000003</v>
      </c>
    </row>
    <row r="75" spans="1:16">
      <c r="A75">
        <v>17910.849999999999</v>
      </c>
      <c r="B75">
        <v>17</v>
      </c>
      <c r="C75" t="s">
        <v>162</v>
      </c>
      <c r="D75" t="s">
        <v>163</v>
      </c>
      <c r="E75">
        <v>17</v>
      </c>
      <c r="F75">
        <v>17</v>
      </c>
      <c r="G75">
        <v>17</v>
      </c>
      <c r="H75">
        <v>135150464</v>
      </c>
      <c r="I75">
        <v>148134048</v>
      </c>
      <c r="J75">
        <v>131399240</v>
      </c>
      <c r="K75">
        <v>27.009991224055799</v>
      </c>
      <c r="L75">
        <v>27.1423280353448</v>
      </c>
      <c r="M75">
        <v>26.9693816903801</v>
      </c>
      <c r="N75">
        <v>147001924.40000001</v>
      </c>
      <c r="O75">
        <v>182052170.09999999</v>
      </c>
      <c r="P75">
        <v>157576848.09999999</v>
      </c>
    </row>
    <row r="76" spans="1:16">
      <c r="A76">
        <v>76154.83</v>
      </c>
      <c r="B76">
        <v>68</v>
      </c>
      <c r="C76" t="s">
        <v>164</v>
      </c>
      <c r="D76" t="s">
        <v>165</v>
      </c>
      <c r="E76">
        <v>63</v>
      </c>
      <c r="F76">
        <v>68</v>
      </c>
      <c r="G76">
        <v>63</v>
      </c>
      <c r="H76">
        <v>239574528</v>
      </c>
      <c r="I76">
        <v>247530000</v>
      </c>
      <c r="J76">
        <v>242037376</v>
      </c>
      <c r="K76">
        <v>27.835899285415898</v>
      </c>
      <c r="L76">
        <v>27.8830281458198</v>
      </c>
      <c r="M76">
        <v>27.850654608277399</v>
      </c>
      <c r="N76">
        <v>52971541.299999997</v>
      </c>
      <c r="O76">
        <v>51115489.399999999</v>
      </c>
      <c r="P76">
        <v>55142438.600000001</v>
      </c>
    </row>
    <row r="77" spans="1:16">
      <c r="A77">
        <v>43304.19</v>
      </c>
      <c r="B77">
        <v>56</v>
      </c>
      <c r="C77" t="s">
        <v>166</v>
      </c>
      <c r="D77" t="s">
        <v>167</v>
      </c>
      <c r="E77">
        <v>52</v>
      </c>
      <c r="F77">
        <v>56</v>
      </c>
      <c r="G77">
        <v>53</v>
      </c>
      <c r="H77">
        <v>536474560</v>
      </c>
      <c r="I77">
        <v>585514432</v>
      </c>
      <c r="J77">
        <v>588898112</v>
      </c>
      <c r="K77">
        <v>28.998934518091701</v>
      </c>
      <c r="L77">
        <v>29.125129490403001</v>
      </c>
      <c r="M77">
        <v>29.1334428073692</v>
      </c>
      <c r="N77">
        <v>515032479.19999999</v>
      </c>
      <c r="O77">
        <v>520245391.5</v>
      </c>
      <c r="P77">
        <v>541976630.89999998</v>
      </c>
    </row>
    <row r="78" spans="1:16">
      <c r="A78">
        <v>103848.01</v>
      </c>
      <c r="B78">
        <v>70</v>
      </c>
      <c r="C78" t="s">
        <v>168</v>
      </c>
      <c r="D78" t="s">
        <v>169</v>
      </c>
      <c r="E78">
        <v>68</v>
      </c>
      <c r="F78">
        <v>70</v>
      </c>
      <c r="G78">
        <v>67</v>
      </c>
      <c r="H78">
        <v>115618312</v>
      </c>
      <c r="I78">
        <v>114886376</v>
      </c>
      <c r="J78">
        <v>107330600</v>
      </c>
      <c r="K78">
        <v>26.784794673713801</v>
      </c>
      <c r="L78">
        <v>26.775632482734601</v>
      </c>
      <c r="M78">
        <v>26.677486206810801</v>
      </c>
      <c r="N78">
        <v>29721058.300000001</v>
      </c>
      <c r="O78">
        <v>28674996.800000001</v>
      </c>
      <c r="P78">
        <v>28398591.399999999</v>
      </c>
    </row>
    <row r="79" spans="1:16">
      <c r="A79">
        <v>19471.28</v>
      </c>
      <c r="B79">
        <v>3</v>
      </c>
      <c r="C79" t="s">
        <v>170</v>
      </c>
      <c r="D79" t="s">
        <v>171</v>
      </c>
      <c r="E79">
        <v>3</v>
      </c>
      <c r="F79">
        <v>3</v>
      </c>
      <c r="G79">
        <v>3</v>
      </c>
      <c r="H79">
        <v>7093188.5</v>
      </c>
      <c r="I79">
        <v>6826077</v>
      </c>
      <c r="J79">
        <v>7949586</v>
      </c>
      <c r="K79">
        <v>22.758002856745101</v>
      </c>
      <c r="L79">
        <v>22.702625257844101</v>
      </c>
      <c r="M79">
        <v>22.9224482987401</v>
      </c>
      <c r="N79">
        <v>6740053</v>
      </c>
      <c r="O79">
        <v>6004944.4000000004</v>
      </c>
      <c r="P79">
        <v>6630234.2000000002</v>
      </c>
    </row>
    <row r="80" spans="1:16">
      <c r="A80">
        <v>46302.47</v>
      </c>
      <c r="B80">
        <v>14</v>
      </c>
      <c r="C80" t="s">
        <v>172</v>
      </c>
      <c r="D80" t="s">
        <v>173</v>
      </c>
      <c r="E80">
        <v>12</v>
      </c>
      <c r="F80">
        <v>13</v>
      </c>
      <c r="G80">
        <v>11</v>
      </c>
      <c r="H80">
        <v>6565604.5</v>
      </c>
      <c r="I80">
        <v>8001306</v>
      </c>
      <c r="J80">
        <v>6815807.5</v>
      </c>
      <c r="K80">
        <v>22.6464964165433</v>
      </c>
      <c r="L80">
        <v>22.931804070067301</v>
      </c>
      <c r="M80">
        <v>22.7004531591841</v>
      </c>
      <c r="N80">
        <v>3216832.5</v>
      </c>
      <c r="O80">
        <v>3642147.8</v>
      </c>
      <c r="P80">
        <v>3091278.1</v>
      </c>
    </row>
    <row r="81" spans="1:16">
      <c r="A81">
        <v>37983.129999999997</v>
      </c>
      <c r="B81">
        <v>9</v>
      </c>
      <c r="C81" t="s">
        <v>174</v>
      </c>
      <c r="D81" t="s">
        <v>175</v>
      </c>
      <c r="E81">
        <v>9</v>
      </c>
      <c r="F81">
        <v>9</v>
      </c>
      <c r="G81">
        <v>8</v>
      </c>
      <c r="H81">
        <v>5872267.5</v>
      </c>
      <c r="I81">
        <v>6659398</v>
      </c>
      <c r="J81">
        <v>6287176</v>
      </c>
      <c r="K81">
        <v>22.485486258236399</v>
      </c>
      <c r="L81">
        <v>22.666960334958599</v>
      </c>
      <c r="M81">
        <v>22.583980719075299</v>
      </c>
      <c r="N81">
        <v>2879813.8</v>
      </c>
      <c r="O81">
        <v>2452393.1</v>
      </c>
      <c r="P81">
        <v>2692749.2</v>
      </c>
    </row>
    <row r="82" spans="1:16">
      <c r="A82">
        <v>65347.6</v>
      </c>
      <c r="B82">
        <v>42</v>
      </c>
      <c r="C82" t="s">
        <v>176</v>
      </c>
      <c r="D82" t="s">
        <v>177</v>
      </c>
      <c r="E82">
        <v>41</v>
      </c>
      <c r="F82">
        <v>42</v>
      </c>
      <c r="G82">
        <v>41</v>
      </c>
      <c r="H82">
        <v>21166294</v>
      </c>
      <c r="I82">
        <v>22458734</v>
      </c>
      <c r="J82">
        <v>20662916</v>
      </c>
      <c r="K82">
        <v>24.335265354631002</v>
      </c>
      <c r="L82">
        <v>24.4207732694478</v>
      </c>
      <c r="M82">
        <v>24.3005405293477</v>
      </c>
      <c r="N82">
        <v>10657019.199999999</v>
      </c>
      <c r="O82">
        <v>11426100.4</v>
      </c>
      <c r="P82">
        <v>11005370.9</v>
      </c>
    </row>
    <row r="83" spans="1:16">
      <c r="A83">
        <v>72267.360000000001</v>
      </c>
      <c r="B83">
        <v>40</v>
      </c>
      <c r="C83" t="s">
        <v>178</v>
      </c>
      <c r="D83" t="s">
        <v>179</v>
      </c>
      <c r="E83">
        <v>38</v>
      </c>
      <c r="F83">
        <v>40</v>
      </c>
      <c r="G83">
        <v>37</v>
      </c>
      <c r="H83">
        <v>27349782</v>
      </c>
      <c r="I83">
        <v>27729354</v>
      </c>
      <c r="J83">
        <v>26903584</v>
      </c>
      <c r="K83">
        <v>24.705025997822698</v>
      </c>
      <c r="L83">
        <v>24.7249106710738</v>
      </c>
      <c r="M83">
        <v>24.6812950405103</v>
      </c>
      <c r="N83">
        <v>16836259.300000001</v>
      </c>
      <c r="O83">
        <v>17618519.600000001</v>
      </c>
      <c r="P83">
        <v>17337063.800000001</v>
      </c>
    </row>
    <row r="84" spans="1:16">
      <c r="A84">
        <v>118301.82</v>
      </c>
      <c r="B84">
        <v>66</v>
      </c>
      <c r="C84" t="s">
        <v>180</v>
      </c>
      <c r="D84" t="s">
        <v>181</v>
      </c>
      <c r="E84">
        <v>60</v>
      </c>
      <c r="F84">
        <v>66</v>
      </c>
      <c r="G84">
        <v>63</v>
      </c>
      <c r="H84">
        <v>45284176</v>
      </c>
      <c r="I84">
        <v>49540796</v>
      </c>
      <c r="J84">
        <v>46443196</v>
      </c>
      <c r="K84">
        <v>25.432503670453102</v>
      </c>
      <c r="L84">
        <v>25.5621137135795</v>
      </c>
      <c r="M84">
        <v>25.468963919246502</v>
      </c>
      <c r="N84">
        <v>13061495.199999999</v>
      </c>
      <c r="O84">
        <v>13692353.5</v>
      </c>
      <c r="P84">
        <v>12771655</v>
      </c>
    </row>
    <row r="85" spans="1:16">
      <c r="A85">
        <v>119676.41</v>
      </c>
      <c r="B85">
        <v>52</v>
      </c>
      <c r="C85" t="s">
        <v>182</v>
      </c>
      <c r="D85" t="s">
        <v>183</v>
      </c>
      <c r="E85">
        <v>49</v>
      </c>
      <c r="F85">
        <v>52</v>
      </c>
      <c r="G85">
        <v>48</v>
      </c>
      <c r="H85">
        <v>29048010</v>
      </c>
      <c r="I85">
        <v>30061296</v>
      </c>
      <c r="J85">
        <v>29383416</v>
      </c>
      <c r="K85">
        <v>24.7919359961212</v>
      </c>
      <c r="L85">
        <v>24.8414038721507</v>
      </c>
      <c r="M85">
        <v>24.8084987918885</v>
      </c>
      <c r="N85">
        <v>7362305.5</v>
      </c>
      <c r="O85">
        <v>7425540.5999999996</v>
      </c>
      <c r="P85">
        <v>8092767</v>
      </c>
    </row>
    <row r="86" spans="1:16">
      <c r="A86">
        <v>37238.79</v>
      </c>
      <c r="B86">
        <v>5</v>
      </c>
      <c r="C86" t="s">
        <v>184</v>
      </c>
      <c r="D86" t="s">
        <v>185</v>
      </c>
      <c r="E86">
        <v>5</v>
      </c>
      <c r="F86">
        <v>5</v>
      </c>
      <c r="G86">
        <v>5</v>
      </c>
      <c r="H86">
        <v>8112797.5</v>
      </c>
      <c r="I86">
        <v>9053250</v>
      </c>
      <c r="J86">
        <v>9195872</v>
      </c>
      <c r="K86">
        <v>22.9517680476938</v>
      </c>
      <c r="L86">
        <v>23.110004363418302</v>
      </c>
      <c r="M86">
        <v>23.132554954230802</v>
      </c>
      <c r="N86">
        <v>3963752.4</v>
      </c>
      <c r="O86">
        <v>5832348.9000000004</v>
      </c>
      <c r="P86">
        <v>4049219.3</v>
      </c>
    </row>
    <row r="87" spans="1:16">
      <c r="A87">
        <v>40064.19</v>
      </c>
      <c r="B87">
        <v>28</v>
      </c>
      <c r="C87" t="s">
        <v>186</v>
      </c>
      <c r="D87" t="s">
        <v>187</v>
      </c>
      <c r="E87">
        <v>26</v>
      </c>
      <c r="F87">
        <v>27</v>
      </c>
      <c r="G87">
        <v>26</v>
      </c>
      <c r="H87">
        <v>36501792</v>
      </c>
      <c r="I87">
        <v>39398692</v>
      </c>
      <c r="J87">
        <v>38921452</v>
      </c>
      <c r="K87">
        <v>25.121463956863099</v>
      </c>
      <c r="L87">
        <v>25.231644398552099</v>
      </c>
      <c r="M87">
        <v>25.214062196378901</v>
      </c>
      <c r="N87">
        <v>23788452.5</v>
      </c>
      <c r="O87">
        <v>23353601.699999999</v>
      </c>
      <c r="P87">
        <v>22657120.5</v>
      </c>
    </row>
    <row r="88" spans="1:16">
      <c r="A88">
        <v>13962.5</v>
      </c>
      <c r="B88">
        <v>10</v>
      </c>
      <c r="C88" t="s">
        <v>188</v>
      </c>
      <c r="D88" t="s">
        <v>189</v>
      </c>
      <c r="E88">
        <v>10</v>
      </c>
      <c r="F88">
        <v>10</v>
      </c>
      <c r="G88">
        <v>10</v>
      </c>
      <c r="H88">
        <v>54905236</v>
      </c>
      <c r="I88">
        <v>65781944</v>
      </c>
      <c r="J88">
        <v>56700364</v>
      </c>
      <c r="K88">
        <v>25.710440401621099</v>
      </c>
      <c r="L88">
        <v>25.971188307801601</v>
      </c>
      <c r="M88">
        <v>25.7568546610952</v>
      </c>
      <c r="N88">
        <v>55866471.100000001</v>
      </c>
      <c r="O88">
        <v>75887482.400000006</v>
      </c>
      <c r="P88">
        <v>64795517.100000001</v>
      </c>
    </row>
    <row r="89" spans="1:16">
      <c r="A89">
        <v>21025.26</v>
      </c>
      <c r="B89">
        <v>14</v>
      </c>
      <c r="C89" t="s">
        <v>190</v>
      </c>
      <c r="D89" t="s">
        <v>191</v>
      </c>
      <c r="E89">
        <v>12</v>
      </c>
      <c r="F89">
        <v>14</v>
      </c>
      <c r="G89">
        <v>13</v>
      </c>
      <c r="H89">
        <v>32220864</v>
      </c>
      <c r="I89">
        <v>34544336</v>
      </c>
      <c r="J89">
        <v>32813744</v>
      </c>
      <c r="K89">
        <v>24.941491844531701</v>
      </c>
      <c r="L89">
        <v>25.0419458453147</v>
      </c>
      <c r="M89">
        <v>24.967796876844801</v>
      </c>
      <c r="N89">
        <v>24160893.300000001</v>
      </c>
      <c r="O89">
        <v>24287287.300000001</v>
      </c>
      <c r="P89">
        <v>27631346.100000001</v>
      </c>
    </row>
    <row r="90" spans="1:16">
      <c r="A90">
        <v>23299.53</v>
      </c>
      <c r="B90">
        <v>15</v>
      </c>
      <c r="C90" t="s">
        <v>192</v>
      </c>
      <c r="D90" t="s">
        <v>193</v>
      </c>
      <c r="E90">
        <v>15</v>
      </c>
      <c r="F90">
        <v>15</v>
      </c>
      <c r="G90">
        <v>15</v>
      </c>
      <c r="H90">
        <v>13349219</v>
      </c>
      <c r="I90">
        <v>12284410</v>
      </c>
      <c r="J90">
        <v>12758588</v>
      </c>
      <c r="K90">
        <v>23.6702520032939</v>
      </c>
      <c r="L90">
        <v>23.550325233306399</v>
      </c>
      <c r="M90">
        <v>23.604965338289499</v>
      </c>
      <c r="N90">
        <v>8372804.4000000004</v>
      </c>
      <c r="O90">
        <v>7723279.9000000004</v>
      </c>
      <c r="P90">
        <v>9273779.5999999996</v>
      </c>
    </row>
    <row r="91" spans="1:16">
      <c r="A91">
        <v>21842.51</v>
      </c>
      <c r="B91">
        <v>11</v>
      </c>
      <c r="C91" t="s">
        <v>194</v>
      </c>
      <c r="D91" t="s">
        <v>195</v>
      </c>
      <c r="E91">
        <v>10</v>
      </c>
      <c r="F91">
        <v>11</v>
      </c>
      <c r="G91">
        <v>10</v>
      </c>
      <c r="H91">
        <v>7131521</v>
      </c>
      <c r="I91">
        <v>7441216</v>
      </c>
      <c r="J91">
        <v>8025289</v>
      </c>
      <c r="K91">
        <v>22.765778374624102</v>
      </c>
      <c r="L91">
        <v>22.827106966708701</v>
      </c>
      <c r="M91">
        <v>22.9361219156226</v>
      </c>
      <c r="N91">
        <v>4718889.5999999996</v>
      </c>
      <c r="O91">
        <v>4336108.5</v>
      </c>
      <c r="P91">
        <v>4937923.9000000004</v>
      </c>
    </row>
    <row r="92" spans="1:16">
      <c r="A92">
        <v>34242.300000000003</v>
      </c>
      <c r="B92">
        <v>21</v>
      </c>
      <c r="C92" t="s">
        <v>196</v>
      </c>
      <c r="D92" t="s">
        <v>197</v>
      </c>
      <c r="E92">
        <v>18</v>
      </c>
      <c r="F92">
        <v>21</v>
      </c>
      <c r="G92">
        <v>19</v>
      </c>
      <c r="H92">
        <v>11844781</v>
      </c>
      <c r="I92">
        <v>12566499</v>
      </c>
      <c r="J92">
        <v>12148826</v>
      </c>
      <c r="K92">
        <v>23.497748188823</v>
      </c>
      <c r="L92">
        <v>23.583079438166099</v>
      </c>
      <c r="M92">
        <v>23.534313570156801</v>
      </c>
      <c r="N92">
        <v>6011052</v>
      </c>
      <c r="O92">
        <v>6417692.4000000004</v>
      </c>
      <c r="P92">
        <v>6544423.2999999998</v>
      </c>
    </row>
    <row r="93" spans="1:16">
      <c r="A93">
        <v>49547.62</v>
      </c>
      <c r="B93">
        <v>36</v>
      </c>
      <c r="C93" t="s">
        <v>198</v>
      </c>
      <c r="D93" t="s">
        <v>199</v>
      </c>
      <c r="E93">
        <v>35</v>
      </c>
      <c r="F93">
        <v>36</v>
      </c>
      <c r="G93">
        <v>35</v>
      </c>
      <c r="H93">
        <v>131630872</v>
      </c>
      <c r="I93">
        <v>139535616</v>
      </c>
      <c r="J93">
        <v>149643520</v>
      </c>
      <c r="K93">
        <v>26.971922649828102</v>
      </c>
      <c r="L93">
        <v>27.056058171248999</v>
      </c>
      <c r="M93">
        <v>27.156954566392798</v>
      </c>
      <c r="N93">
        <v>81088668.700000003</v>
      </c>
      <c r="O93">
        <v>80084133.299999997</v>
      </c>
      <c r="P93">
        <v>84427851.900000006</v>
      </c>
    </row>
    <row r="94" spans="1:16">
      <c r="A94">
        <v>31856.61</v>
      </c>
      <c r="B94">
        <v>2</v>
      </c>
      <c r="C94" t="s">
        <v>200</v>
      </c>
      <c r="D94" t="s">
        <v>201</v>
      </c>
      <c r="E94">
        <v>2</v>
      </c>
      <c r="F94">
        <v>2</v>
      </c>
      <c r="G94">
        <v>2</v>
      </c>
      <c r="H94">
        <v>1361061.375</v>
      </c>
      <c r="I94">
        <v>675755.125</v>
      </c>
      <c r="J94">
        <v>1233685</v>
      </c>
      <c r="K94">
        <v>20.376300693779299</v>
      </c>
      <c r="L94">
        <v>19.366141022793599</v>
      </c>
      <c r="M94">
        <v>20.2345426437541</v>
      </c>
      <c r="N94">
        <v>289630.59999999998</v>
      </c>
      <c r="O94">
        <v>149660.9</v>
      </c>
      <c r="P94">
        <v>246737</v>
      </c>
    </row>
    <row r="95" spans="1:16">
      <c r="A95">
        <v>16513.099999999999</v>
      </c>
      <c r="B95">
        <v>9</v>
      </c>
      <c r="C95" t="s">
        <v>202</v>
      </c>
      <c r="D95" t="s">
        <v>203</v>
      </c>
      <c r="E95">
        <v>9</v>
      </c>
      <c r="F95">
        <v>9</v>
      </c>
      <c r="G95">
        <v>9</v>
      </c>
      <c r="H95">
        <v>4004204.75</v>
      </c>
      <c r="I95">
        <v>4139411.5</v>
      </c>
      <c r="J95">
        <v>4208769.5</v>
      </c>
      <c r="K95">
        <v>21.933084315790101</v>
      </c>
      <c r="L95">
        <v>21.980994243719799</v>
      </c>
      <c r="M95">
        <v>22.0049670696629</v>
      </c>
      <c r="N95">
        <v>2797851.8</v>
      </c>
      <c r="O95">
        <v>2714530.6</v>
      </c>
      <c r="P95">
        <v>3228823.6</v>
      </c>
    </row>
    <row r="96" spans="1:16">
      <c r="A96">
        <v>21880.400000000001</v>
      </c>
      <c r="B96">
        <v>12</v>
      </c>
      <c r="C96" t="s">
        <v>204</v>
      </c>
      <c r="D96" t="s">
        <v>205</v>
      </c>
      <c r="E96">
        <v>11</v>
      </c>
      <c r="F96">
        <v>12</v>
      </c>
      <c r="G96">
        <v>12</v>
      </c>
      <c r="H96">
        <v>67496024</v>
      </c>
      <c r="I96">
        <v>70164096</v>
      </c>
      <c r="J96">
        <v>58774304</v>
      </c>
      <c r="K96">
        <v>26.0082991837908</v>
      </c>
      <c r="L96">
        <v>26.0642296352895</v>
      </c>
      <c r="M96">
        <v>25.808682213926598</v>
      </c>
      <c r="N96">
        <v>33448262.100000001</v>
      </c>
      <c r="O96">
        <v>35244619</v>
      </c>
      <c r="P96">
        <v>37333707.399999999</v>
      </c>
    </row>
    <row r="97" spans="1:16">
      <c r="A97">
        <v>57134.09</v>
      </c>
      <c r="B97">
        <v>43</v>
      </c>
      <c r="C97" t="s">
        <v>206</v>
      </c>
      <c r="D97" t="s">
        <v>207</v>
      </c>
      <c r="E97">
        <v>38</v>
      </c>
      <c r="F97">
        <v>42</v>
      </c>
      <c r="G97">
        <v>39</v>
      </c>
      <c r="H97">
        <v>84289040</v>
      </c>
      <c r="I97">
        <v>96099696</v>
      </c>
      <c r="J97">
        <v>93614664</v>
      </c>
      <c r="K97">
        <v>26.328841715715701</v>
      </c>
      <c r="L97">
        <v>26.5180285314229</v>
      </c>
      <c r="M97">
        <v>26.48023119854</v>
      </c>
      <c r="N97">
        <v>55256343.200000003</v>
      </c>
      <c r="O97">
        <v>56556568.100000001</v>
      </c>
      <c r="P97">
        <v>59481005.600000001</v>
      </c>
    </row>
    <row r="98" spans="1:16">
      <c r="A98">
        <v>35185.51</v>
      </c>
      <c r="B98">
        <v>26</v>
      </c>
      <c r="C98" t="s">
        <v>208</v>
      </c>
      <c r="D98" t="s">
        <v>209</v>
      </c>
      <c r="E98">
        <v>25</v>
      </c>
      <c r="F98">
        <v>24</v>
      </c>
      <c r="G98">
        <v>25</v>
      </c>
      <c r="H98">
        <v>71687824</v>
      </c>
      <c r="I98">
        <v>78989688</v>
      </c>
      <c r="J98">
        <v>75639120</v>
      </c>
      <c r="K98">
        <v>26.0952247657534</v>
      </c>
      <c r="L98">
        <v>26.2351609878517</v>
      </c>
      <c r="M98">
        <v>26.1726292430066</v>
      </c>
      <c r="N98">
        <v>20491930.600000001</v>
      </c>
      <c r="O98">
        <v>21992353.899999999</v>
      </c>
      <c r="P98">
        <v>21475057.899999999</v>
      </c>
    </row>
    <row r="99" spans="1:16">
      <c r="A99">
        <v>53622.58</v>
      </c>
      <c r="B99">
        <v>28</v>
      </c>
      <c r="C99" t="s">
        <v>210</v>
      </c>
      <c r="D99" t="s">
        <v>211</v>
      </c>
      <c r="E99">
        <v>28</v>
      </c>
      <c r="F99">
        <v>28</v>
      </c>
      <c r="G99">
        <v>27</v>
      </c>
      <c r="H99">
        <v>63303232</v>
      </c>
      <c r="I99">
        <v>63456968</v>
      </c>
      <c r="J99">
        <v>65781168</v>
      </c>
      <c r="K99">
        <v>25.915775823759901</v>
      </c>
      <c r="L99">
        <v>25.919275254552101</v>
      </c>
      <c r="M99">
        <v>25.971171288876899</v>
      </c>
      <c r="N99">
        <v>20805088.199999999</v>
      </c>
      <c r="O99">
        <v>21191071.199999999</v>
      </c>
      <c r="P99">
        <v>23993299.199999999</v>
      </c>
    </row>
    <row r="100" spans="1:16">
      <c r="A100">
        <v>74601.440000000002</v>
      </c>
      <c r="B100">
        <v>49</v>
      </c>
      <c r="C100" t="s">
        <v>212</v>
      </c>
      <c r="D100" t="s">
        <v>213</v>
      </c>
      <c r="E100">
        <v>47</v>
      </c>
      <c r="F100">
        <v>49</v>
      </c>
      <c r="G100">
        <v>46</v>
      </c>
      <c r="H100">
        <v>27606034</v>
      </c>
      <c r="I100">
        <v>28561516</v>
      </c>
      <c r="J100">
        <v>27785202</v>
      </c>
      <c r="K100">
        <v>24.7184803033321</v>
      </c>
      <c r="L100">
        <v>24.767569221576998</v>
      </c>
      <c r="M100">
        <v>24.727813393013101</v>
      </c>
      <c r="N100">
        <v>16009782.699999999</v>
      </c>
      <c r="O100">
        <v>16331266</v>
      </c>
      <c r="P100">
        <v>16275038.300000001</v>
      </c>
    </row>
    <row r="101" spans="1:16">
      <c r="A101">
        <v>46978.26</v>
      </c>
      <c r="B101">
        <v>32</v>
      </c>
      <c r="C101" t="s">
        <v>214</v>
      </c>
      <c r="D101" t="s">
        <v>215</v>
      </c>
      <c r="E101">
        <v>30</v>
      </c>
      <c r="F101">
        <v>32</v>
      </c>
      <c r="G101">
        <v>30</v>
      </c>
      <c r="H101">
        <v>138948432</v>
      </c>
      <c r="I101">
        <v>156835872</v>
      </c>
      <c r="J101">
        <v>154191872</v>
      </c>
      <c r="K101">
        <v>27.0499743132589</v>
      </c>
      <c r="L101">
        <v>27.224680334097702</v>
      </c>
      <c r="M101">
        <v>27.200151476787902</v>
      </c>
      <c r="N101">
        <v>67700368.299999997</v>
      </c>
      <c r="O101">
        <v>67921267.799999997</v>
      </c>
      <c r="P101">
        <v>74002070.400000006</v>
      </c>
    </row>
    <row r="102" spans="1:16">
      <c r="A102">
        <v>67869.149999999994</v>
      </c>
      <c r="B102">
        <v>44</v>
      </c>
      <c r="C102" t="s">
        <v>216</v>
      </c>
      <c r="D102" t="s">
        <v>217</v>
      </c>
      <c r="E102">
        <v>42</v>
      </c>
      <c r="F102">
        <v>44</v>
      </c>
      <c r="G102">
        <v>42</v>
      </c>
      <c r="H102">
        <v>148415296</v>
      </c>
      <c r="I102">
        <v>152081664</v>
      </c>
      <c r="J102">
        <v>145452640</v>
      </c>
      <c r="K102">
        <v>27.1450645459777</v>
      </c>
      <c r="L102">
        <v>27.180270981517602</v>
      </c>
      <c r="M102">
        <v>27.115974241032699</v>
      </c>
      <c r="N102">
        <v>43976235.799999997</v>
      </c>
      <c r="O102">
        <v>46045315.700000003</v>
      </c>
      <c r="P102">
        <v>45007389.899999999</v>
      </c>
    </row>
    <row r="103" spans="1:16">
      <c r="A103">
        <v>35640.03</v>
      </c>
      <c r="B103">
        <v>24</v>
      </c>
      <c r="C103" t="s">
        <v>218</v>
      </c>
      <c r="D103" t="s">
        <v>219</v>
      </c>
      <c r="E103">
        <v>24</v>
      </c>
      <c r="F103">
        <v>24</v>
      </c>
      <c r="G103">
        <v>23</v>
      </c>
      <c r="H103">
        <v>45304212</v>
      </c>
      <c r="I103">
        <v>41684756</v>
      </c>
      <c r="J103">
        <v>46911328</v>
      </c>
      <c r="K103">
        <v>25.433141850223102</v>
      </c>
      <c r="L103">
        <v>25.3130165547399</v>
      </c>
      <c r="M103">
        <v>25.483433006484201</v>
      </c>
      <c r="N103">
        <v>16314816</v>
      </c>
      <c r="O103">
        <v>13935090.699999999</v>
      </c>
      <c r="P103">
        <v>15388652.199999999</v>
      </c>
    </row>
    <row r="104" spans="1:16">
      <c r="A104">
        <v>44052.82</v>
      </c>
      <c r="B104">
        <v>32</v>
      </c>
      <c r="C104" t="s">
        <v>220</v>
      </c>
      <c r="D104" t="s">
        <v>221</v>
      </c>
      <c r="E104">
        <v>32</v>
      </c>
      <c r="F104">
        <v>32</v>
      </c>
      <c r="G104">
        <v>31</v>
      </c>
      <c r="H104">
        <v>90734432</v>
      </c>
      <c r="I104">
        <v>94603912</v>
      </c>
      <c r="J104">
        <v>95829520</v>
      </c>
      <c r="K104">
        <v>26.435146794338099</v>
      </c>
      <c r="L104">
        <v>26.4953965064052</v>
      </c>
      <c r="M104">
        <v>26.513966806575102</v>
      </c>
      <c r="N104">
        <v>38019221.5</v>
      </c>
      <c r="O104">
        <v>36235357.5</v>
      </c>
      <c r="P104">
        <v>41261410.5</v>
      </c>
    </row>
    <row r="105" spans="1:16">
      <c r="A105">
        <v>64496.3</v>
      </c>
      <c r="B105">
        <v>34</v>
      </c>
      <c r="C105" t="s">
        <v>222</v>
      </c>
      <c r="D105" t="s">
        <v>223</v>
      </c>
      <c r="E105">
        <v>32</v>
      </c>
      <c r="F105">
        <v>34</v>
      </c>
      <c r="G105">
        <v>33</v>
      </c>
      <c r="H105">
        <v>54993520</v>
      </c>
      <c r="I105">
        <v>52261292</v>
      </c>
      <c r="J105">
        <v>55274708</v>
      </c>
      <c r="K105">
        <v>25.7127582971282</v>
      </c>
      <c r="L105">
        <v>25.639239455516002</v>
      </c>
      <c r="M105">
        <v>25.720116162940201</v>
      </c>
      <c r="N105">
        <v>24064120.600000001</v>
      </c>
      <c r="O105">
        <v>22501829.399999999</v>
      </c>
      <c r="P105">
        <v>25376279.600000001</v>
      </c>
    </row>
    <row r="106" spans="1:16">
      <c r="A106">
        <v>16879.46</v>
      </c>
      <c r="B106">
        <v>11</v>
      </c>
      <c r="C106" t="s">
        <v>224</v>
      </c>
      <c r="D106" t="s">
        <v>225</v>
      </c>
      <c r="E106">
        <v>11</v>
      </c>
      <c r="F106">
        <v>11</v>
      </c>
      <c r="G106">
        <v>11</v>
      </c>
      <c r="H106">
        <v>17545216</v>
      </c>
      <c r="I106">
        <v>7435945</v>
      </c>
      <c r="J106">
        <v>19698604</v>
      </c>
      <c r="K106">
        <v>24.0645743731491</v>
      </c>
      <c r="L106">
        <v>22.8260846687207</v>
      </c>
      <c r="M106">
        <v>24.2315900566526</v>
      </c>
      <c r="N106">
        <v>18092456</v>
      </c>
      <c r="O106">
        <v>8718134.5</v>
      </c>
      <c r="P106">
        <v>20438672.5</v>
      </c>
    </row>
    <row r="107" spans="1:16">
      <c r="A107">
        <v>7055.63</v>
      </c>
      <c r="B107">
        <v>1</v>
      </c>
      <c r="C107" t="s">
        <v>226</v>
      </c>
      <c r="D107" t="s">
        <v>227</v>
      </c>
      <c r="E107">
        <v>1</v>
      </c>
      <c r="F107">
        <v>1</v>
      </c>
      <c r="G107">
        <v>1</v>
      </c>
      <c r="H107">
        <v>4101436.5</v>
      </c>
      <c r="I107">
        <v>5360743</v>
      </c>
      <c r="J107">
        <v>5083994.5</v>
      </c>
      <c r="K107">
        <v>21.967697861605199</v>
      </c>
      <c r="L107">
        <v>22.354001541672801</v>
      </c>
      <c r="M107">
        <v>22.277531038922099</v>
      </c>
      <c r="N107">
        <v>1367145.5</v>
      </c>
      <c r="O107">
        <v>1786914.3</v>
      </c>
      <c r="P107">
        <v>1694664.8</v>
      </c>
    </row>
    <row r="108" spans="1:16">
      <c r="A108">
        <v>23845.68</v>
      </c>
      <c r="B108">
        <v>25</v>
      </c>
      <c r="C108" t="s">
        <v>228</v>
      </c>
      <c r="D108" t="s">
        <v>229</v>
      </c>
      <c r="E108">
        <v>23</v>
      </c>
      <c r="F108">
        <v>25</v>
      </c>
      <c r="G108">
        <v>20</v>
      </c>
      <c r="H108">
        <v>195426416</v>
      </c>
      <c r="I108">
        <v>266428352</v>
      </c>
      <c r="J108">
        <v>237854192</v>
      </c>
      <c r="K108">
        <v>27.542050250235199</v>
      </c>
      <c r="L108">
        <v>27.989172374215801</v>
      </c>
      <c r="M108">
        <v>27.825502211030798</v>
      </c>
      <c r="N108">
        <v>104432296.2</v>
      </c>
      <c r="O108">
        <v>137737057.80000001</v>
      </c>
      <c r="P108">
        <v>130197775.2</v>
      </c>
    </row>
    <row r="109" spans="1:16">
      <c r="A109">
        <v>71209.149999999994</v>
      </c>
      <c r="B109">
        <v>28</v>
      </c>
      <c r="C109" t="s">
        <v>230</v>
      </c>
      <c r="D109" t="s">
        <v>231</v>
      </c>
      <c r="E109">
        <v>23</v>
      </c>
      <c r="F109">
        <v>28</v>
      </c>
      <c r="G109">
        <v>26</v>
      </c>
      <c r="H109">
        <v>3954161.5</v>
      </c>
      <c r="I109">
        <v>3988843.25</v>
      </c>
      <c r="J109">
        <v>3696068.75</v>
      </c>
      <c r="K109">
        <v>21.914940365654498</v>
      </c>
      <c r="L109">
        <v>21.927539000121701</v>
      </c>
      <c r="M109">
        <v>21.8175601616738</v>
      </c>
      <c r="N109">
        <v>876004.6</v>
      </c>
      <c r="O109">
        <v>879225.5</v>
      </c>
      <c r="P109">
        <v>827203</v>
      </c>
    </row>
    <row r="110" spans="1:16">
      <c r="A110">
        <v>45503.14</v>
      </c>
      <c r="B110">
        <v>24</v>
      </c>
      <c r="C110" t="s">
        <v>232</v>
      </c>
      <c r="D110" t="s">
        <v>233</v>
      </c>
      <c r="E110">
        <v>23</v>
      </c>
      <c r="F110">
        <v>24</v>
      </c>
      <c r="G110">
        <v>22</v>
      </c>
      <c r="H110">
        <v>21052528</v>
      </c>
      <c r="I110">
        <v>22877018</v>
      </c>
      <c r="J110">
        <v>21792332</v>
      </c>
      <c r="K110">
        <v>24.327490147578199</v>
      </c>
      <c r="L110">
        <v>24.447395674501401</v>
      </c>
      <c r="M110">
        <v>24.377317251891501</v>
      </c>
      <c r="N110">
        <v>5759522</v>
      </c>
      <c r="O110">
        <v>5511102.2999999998</v>
      </c>
      <c r="P110">
        <v>5935536.4000000004</v>
      </c>
    </row>
    <row r="111" spans="1:16">
      <c r="A111">
        <v>22680.36</v>
      </c>
      <c r="B111">
        <v>15</v>
      </c>
      <c r="C111" t="s">
        <v>234</v>
      </c>
      <c r="D111" t="s">
        <v>235</v>
      </c>
      <c r="E111">
        <v>14</v>
      </c>
      <c r="F111">
        <v>15</v>
      </c>
      <c r="G111">
        <v>14</v>
      </c>
      <c r="H111">
        <v>11006914</v>
      </c>
      <c r="I111">
        <v>11944580</v>
      </c>
      <c r="J111">
        <v>11416102</v>
      </c>
      <c r="K111">
        <v>23.391906702508699</v>
      </c>
      <c r="L111">
        <v>23.5098527902895</v>
      </c>
      <c r="M111">
        <v>23.444566794312699</v>
      </c>
      <c r="N111">
        <v>8039433.2000000002</v>
      </c>
      <c r="O111">
        <v>8512914.9000000004</v>
      </c>
      <c r="P111">
        <v>8103511.0999999996</v>
      </c>
    </row>
    <row r="112" spans="1:16">
      <c r="A112">
        <v>22659.95</v>
      </c>
      <c r="B112">
        <v>3</v>
      </c>
      <c r="C112" t="s">
        <v>236</v>
      </c>
      <c r="D112" t="s">
        <v>237</v>
      </c>
      <c r="E112">
        <v>3</v>
      </c>
      <c r="F112">
        <v>3</v>
      </c>
      <c r="G112">
        <v>3</v>
      </c>
      <c r="H112">
        <v>2232578.75</v>
      </c>
      <c r="I112">
        <v>2948554</v>
      </c>
      <c r="J112">
        <v>1875144.5</v>
      </c>
      <c r="K112">
        <v>21.090279633911699</v>
      </c>
      <c r="L112">
        <v>21.491576185332001</v>
      </c>
      <c r="M112">
        <v>20.838570344346401</v>
      </c>
      <c r="N112">
        <v>1149527.1000000001</v>
      </c>
      <c r="O112">
        <v>1591048.5</v>
      </c>
      <c r="P112">
        <v>1131312.1000000001</v>
      </c>
    </row>
    <row r="113" spans="1:16">
      <c r="A113">
        <v>22965.02</v>
      </c>
      <c r="B113">
        <v>10</v>
      </c>
      <c r="C113" t="s">
        <v>238</v>
      </c>
      <c r="D113" t="s">
        <v>239</v>
      </c>
      <c r="E113">
        <v>9</v>
      </c>
      <c r="F113">
        <v>10</v>
      </c>
      <c r="G113">
        <v>10</v>
      </c>
      <c r="H113">
        <v>6662228.5</v>
      </c>
      <c r="I113">
        <v>5862940</v>
      </c>
      <c r="J113">
        <v>5971240</v>
      </c>
      <c r="K113">
        <v>22.667573405498398</v>
      </c>
      <c r="L113">
        <v>22.4831928619198</v>
      </c>
      <c r="M113">
        <v>22.509599124949901</v>
      </c>
      <c r="N113">
        <v>4158827</v>
      </c>
      <c r="O113">
        <v>3691499.8</v>
      </c>
      <c r="P113">
        <v>3885153.7</v>
      </c>
    </row>
    <row r="114" spans="1:16">
      <c r="A114">
        <v>27471.95</v>
      </c>
      <c r="B114">
        <v>14</v>
      </c>
      <c r="C114" t="s">
        <v>240</v>
      </c>
      <c r="D114" t="s">
        <v>241</v>
      </c>
      <c r="E114">
        <v>14</v>
      </c>
      <c r="F114">
        <v>14</v>
      </c>
      <c r="G114">
        <v>14</v>
      </c>
      <c r="H114">
        <v>29180956</v>
      </c>
      <c r="I114">
        <v>25187784</v>
      </c>
      <c r="J114">
        <v>27371766</v>
      </c>
      <c r="K114">
        <v>24.798523812507302</v>
      </c>
      <c r="L114">
        <v>24.586220864773502</v>
      </c>
      <c r="M114">
        <v>24.706185183212799</v>
      </c>
      <c r="N114">
        <v>15580020.1</v>
      </c>
      <c r="O114">
        <v>14717054.800000001</v>
      </c>
      <c r="P114">
        <v>15138229.1</v>
      </c>
    </row>
    <row r="115" spans="1:16">
      <c r="A115">
        <v>17476.080000000002</v>
      </c>
      <c r="B115">
        <v>15</v>
      </c>
      <c r="C115" t="s">
        <v>242</v>
      </c>
      <c r="D115" t="s">
        <v>243</v>
      </c>
      <c r="E115">
        <v>14</v>
      </c>
      <c r="F115">
        <v>15</v>
      </c>
      <c r="G115">
        <v>14</v>
      </c>
      <c r="H115">
        <v>169182368</v>
      </c>
      <c r="I115">
        <v>160825008</v>
      </c>
      <c r="J115">
        <v>167884656</v>
      </c>
      <c r="K115">
        <v>27.3340039793034</v>
      </c>
      <c r="L115">
        <v>27.2609165195481</v>
      </c>
      <c r="M115">
        <v>27.322895138722899</v>
      </c>
      <c r="N115">
        <v>99333739.099999994</v>
      </c>
      <c r="O115">
        <v>95283411.700000003</v>
      </c>
      <c r="P115">
        <v>94198195.799999997</v>
      </c>
    </row>
    <row r="116" spans="1:16">
      <c r="A116">
        <v>68805.69</v>
      </c>
      <c r="B116">
        <v>36</v>
      </c>
      <c r="C116" t="s">
        <v>244</v>
      </c>
      <c r="D116" t="s">
        <v>245</v>
      </c>
      <c r="E116">
        <v>36</v>
      </c>
      <c r="F116">
        <v>36</v>
      </c>
      <c r="G116">
        <v>36</v>
      </c>
      <c r="H116">
        <v>6074090</v>
      </c>
      <c r="I116">
        <v>6118594</v>
      </c>
      <c r="J116">
        <v>5860720.5</v>
      </c>
      <c r="K116">
        <v>22.534236854449802</v>
      </c>
      <c r="L116">
        <v>22.544768741479398</v>
      </c>
      <c r="M116">
        <v>22.4826466056236</v>
      </c>
      <c r="N116">
        <v>2920526.5</v>
      </c>
      <c r="O116">
        <v>2907593.8</v>
      </c>
      <c r="P116">
        <v>2903267.5</v>
      </c>
    </row>
    <row r="117" spans="1:16">
      <c r="A117">
        <v>65650.679999999993</v>
      </c>
      <c r="B117">
        <v>34</v>
      </c>
      <c r="C117" t="s">
        <v>246</v>
      </c>
      <c r="D117" t="s">
        <v>247</v>
      </c>
      <c r="E117">
        <v>32</v>
      </c>
      <c r="F117">
        <v>34</v>
      </c>
      <c r="G117">
        <v>31</v>
      </c>
      <c r="H117">
        <v>37256196</v>
      </c>
      <c r="I117">
        <v>40870564</v>
      </c>
      <c r="J117">
        <v>38177044</v>
      </c>
      <c r="K117">
        <v>25.150977041333199</v>
      </c>
      <c r="L117">
        <v>25.284558816412499</v>
      </c>
      <c r="M117">
        <v>25.186202065234198</v>
      </c>
      <c r="N117">
        <v>17131140</v>
      </c>
      <c r="O117">
        <v>17571641.300000001</v>
      </c>
      <c r="P117">
        <v>16979373.800000001</v>
      </c>
    </row>
    <row r="118" spans="1:16">
      <c r="A118">
        <v>30588.34</v>
      </c>
      <c r="B118">
        <v>15</v>
      </c>
      <c r="C118" t="s">
        <v>248</v>
      </c>
      <c r="D118" t="s">
        <v>249</v>
      </c>
      <c r="E118">
        <v>15</v>
      </c>
      <c r="F118">
        <v>15</v>
      </c>
      <c r="G118">
        <v>15</v>
      </c>
      <c r="H118">
        <v>17322716</v>
      </c>
      <c r="I118">
        <v>18541406</v>
      </c>
      <c r="J118">
        <v>18132132</v>
      </c>
      <c r="K118">
        <v>24.046161809780699</v>
      </c>
      <c r="L118">
        <v>24.144247312291299</v>
      </c>
      <c r="M118">
        <v>24.112045233253301</v>
      </c>
      <c r="N118">
        <v>6428977.5</v>
      </c>
      <c r="O118">
        <v>6784773.9000000004</v>
      </c>
      <c r="P118">
        <v>6672522.2000000002</v>
      </c>
    </row>
    <row r="119" spans="1:16">
      <c r="A119">
        <v>103211.09</v>
      </c>
      <c r="B119">
        <v>58</v>
      </c>
      <c r="C119" t="s">
        <v>250</v>
      </c>
      <c r="D119" t="s">
        <v>251</v>
      </c>
      <c r="E119">
        <v>52</v>
      </c>
      <c r="F119">
        <v>58</v>
      </c>
      <c r="G119">
        <v>55</v>
      </c>
      <c r="H119">
        <v>17878964</v>
      </c>
      <c r="I119">
        <v>18509558</v>
      </c>
      <c r="J119">
        <v>18263298</v>
      </c>
      <c r="K119">
        <v>24.0917598059137</v>
      </c>
      <c r="L119">
        <v>24.141767108916401</v>
      </c>
      <c r="M119">
        <v>24.122443976007698</v>
      </c>
      <c r="N119">
        <v>7632929.7000000002</v>
      </c>
      <c r="O119">
        <v>7846113.4000000004</v>
      </c>
      <c r="P119">
        <v>8292631.0999999996</v>
      </c>
    </row>
    <row r="120" spans="1:16">
      <c r="A120">
        <v>25688.69</v>
      </c>
      <c r="B120">
        <v>17</v>
      </c>
      <c r="C120" t="s">
        <v>252</v>
      </c>
      <c r="D120" t="s">
        <v>253</v>
      </c>
      <c r="E120">
        <v>16</v>
      </c>
      <c r="F120">
        <v>16</v>
      </c>
      <c r="G120">
        <v>16</v>
      </c>
      <c r="H120">
        <v>31424114</v>
      </c>
      <c r="I120">
        <v>32307868</v>
      </c>
      <c r="J120">
        <v>31109340</v>
      </c>
      <c r="K120">
        <v>24.9053687327769</v>
      </c>
      <c r="L120">
        <v>24.945382214340899</v>
      </c>
      <c r="M120">
        <v>24.8908444519212</v>
      </c>
      <c r="N120">
        <v>12565460.9</v>
      </c>
      <c r="O120">
        <v>11586422.300000001</v>
      </c>
      <c r="P120">
        <v>12335514.800000001</v>
      </c>
    </row>
    <row r="121" spans="1:16">
      <c r="A121">
        <v>35135.79</v>
      </c>
      <c r="B121">
        <v>10</v>
      </c>
      <c r="C121" t="s">
        <v>254</v>
      </c>
      <c r="D121" t="s">
        <v>255</v>
      </c>
      <c r="E121">
        <v>10</v>
      </c>
      <c r="F121">
        <v>9</v>
      </c>
      <c r="G121">
        <v>8</v>
      </c>
      <c r="H121">
        <v>2614498</v>
      </c>
      <c r="I121">
        <v>2326144.25</v>
      </c>
      <c r="J121">
        <v>2018910.125</v>
      </c>
      <c r="K121">
        <v>21.3181025358978</v>
      </c>
      <c r="L121">
        <v>21.149509134022999</v>
      </c>
      <c r="M121">
        <v>20.9451452575553</v>
      </c>
      <c r="N121">
        <v>1064056</v>
      </c>
      <c r="O121">
        <v>1088442.7</v>
      </c>
      <c r="P121">
        <v>897193.3</v>
      </c>
    </row>
    <row r="122" spans="1:16">
      <c r="A122">
        <v>43823.78</v>
      </c>
      <c r="B122">
        <v>7</v>
      </c>
      <c r="C122" t="s">
        <v>256</v>
      </c>
      <c r="D122" t="s">
        <v>257</v>
      </c>
      <c r="E122">
        <v>7</v>
      </c>
      <c r="F122">
        <v>7</v>
      </c>
      <c r="G122">
        <v>6</v>
      </c>
      <c r="H122">
        <v>90514.3359375</v>
      </c>
      <c r="I122">
        <v>74294.59375</v>
      </c>
      <c r="J122">
        <v>91319.8203125</v>
      </c>
      <c r="K122">
        <v>16.465858688297502</v>
      </c>
      <c r="L122">
        <v>16.1809696124689</v>
      </c>
      <c r="M122">
        <v>16.4786404003634</v>
      </c>
      <c r="N122">
        <v>18806.400000000001</v>
      </c>
      <c r="O122">
        <v>16965.7</v>
      </c>
      <c r="P122">
        <v>28128.1</v>
      </c>
    </row>
    <row r="123" spans="1:16">
      <c r="A123">
        <v>16266.9</v>
      </c>
      <c r="B123">
        <v>7</v>
      </c>
      <c r="C123" t="s">
        <v>258</v>
      </c>
      <c r="D123" t="s">
        <v>259</v>
      </c>
      <c r="E123">
        <v>7</v>
      </c>
      <c r="F123">
        <v>7</v>
      </c>
      <c r="G123">
        <v>7</v>
      </c>
      <c r="H123">
        <v>13812272</v>
      </c>
      <c r="I123">
        <v>13079484</v>
      </c>
      <c r="J123">
        <v>13981527</v>
      </c>
      <c r="K123">
        <v>23.719447314258801</v>
      </c>
      <c r="L123">
        <v>23.640802290267299</v>
      </c>
      <c r="M123">
        <v>23.737018598245498</v>
      </c>
      <c r="N123">
        <v>5825471.7000000002</v>
      </c>
      <c r="O123">
        <v>6852233</v>
      </c>
      <c r="P123">
        <v>5915622.5</v>
      </c>
    </row>
    <row r="124" spans="1:16">
      <c r="A124">
        <v>21881.4</v>
      </c>
      <c r="B124">
        <v>13</v>
      </c>
      <c r="C124" t="s">
        <v>260</v>
      </c>
      <c r="D124" t="s">
        <v>261</v>
      </c>
      <c r="E124">
        <v>13</v>
      </c>
      <c r="F124">
        <v>13</v>
      </c>
      <c r="G124">
        <v>13</v>
      </c>
      <c r="H124">
        <v>7630238.5</v>
      </c>
      <c r="I124">
        <v>7730831.5</v>
      </c>
      <c r="J124">
        <v>7727498.5</v>
      </c>
      <c r="K124">
        <v>22.8632967217168</v>
      </c>
      <c r="L124">
        <v>22.8821921628289</v>
      </c>
      <c r="M124">
        <v>22.8815700383633</v>
      </c>
      <c r="N124">
        <v>3540802.2</v>
      </c>
      <c r="O124">
        <v>3899187.3</v>
      </c>
      <c r="P124">
        <v>3815362.9</v>
      </c>
    </row>
    <row r="125" spans="1:16">
      <c r="A125">
        <v>27570.46</v>
      </c>
      <c r="B125">
        <v>11</v>
      </c>
      <c r="C125" t="s">
        <v>262</v>
      </c>
      <c r="D125" t="s">
        <v>263</v>
      </c>
      <c r="E125">
        <v>10</v>
      </c>
      <c r="F125">
        <v>11</v>
      </c>
      <c r="G125">
        <v>11</v>
      </c>
      <c r="H125">
        <v>4915074</v>
      </c>
      <c r="I125">
        <v>5365024</v>
      </c>
      <c r="J125">
        <v>5398844.5</v>
      </c>
      <c r="K125">
        <v>22.228781706872599</v>
      </c>
      <c r="L125">
        <v>22.355153194099699</v>
      </c>
      <c r="M125">
        <v>22.364219233544201</v>
      </c>
      <c r="N125">
        <v>2097074.7</v>
      </c>
      <c r="O125">
        <v>2361180.4</v>
      </c>
      <c r="P125">
        <v>2406314.4</v>
      </c>
    </row>
    <row r="126" spans="1:16">
      <c r="A126">
        <v>55403.53</v>
      </c>
      <c r="B126">
        <v>41</v>
      </c>
      <c r="C126" t="s">
        <v>264</v>
      </c>
      <c r="D126" t="s">
        <v>265</v>
      </c>
      <c r="E126">
        <v>41</v>
      </c>
      <c r="F126">
        <v>41</v>
      </c>
      <c r="G126">
        <v>40</v>
      </c>
      <c r="H126">
        <v>24199560</v>
      </c>
      <c r="I126">
        <v>27737586</v>
      </c>
      <c r="J126">
        <v>23343110</v>
      </c>
      <c r="K126">
        <v>24.528477480654001</v>
      </c>
      <c r="L126">
        <v>24.725338899696599</v>
      </c>
      <c r="M126">
        <v>24.476493448164899</v>
      </c>
      <c r="N126">
        <v>12634536.699999999</v>
      </c>
      <c r="O126">
        <v>11764900.199999999</v>
      </c>
      <c r="P126">
        <v>11724860.199999999</v>
      </c>
    </row>
    <row r="127" spans="1:16">
      <c r="A127">
        <v>23937.040000000001</v>
      </c>
      <c r="B127">
        <v>12</v>
      </c>
      <c r="C127" t="s">
        <v>266</v>
      </c>
      <c r="D127" t="s">
        <v>267</v>
      </c>
      <c r="E127">
        <v>12</v>
      </c>
      <c r="F127">
        <v>12</v>
      </c>
      <c r="G127">
        <v>12</v>
      </c>
      <c r="H127">
        <v>9961177</v>
      </c>
      <c r="I127">
        <v>9875492</v>
      </c>
      <c r="J127">
        <v>10284046</v>
      </c>
      <c r="K127">
        <v>23.2478847886997</v>
      </c>
      <c r="L127">
        <v>23.235421194795201</v>
      </c>
      <c r="M127">
        <v>23.2939046326096</v>
      </c>
      <c r="N127">
        <v>3228695.8</v>
      </c>
      <c r="O127">
        <v>3403010.6</v>
      </c>
      <c r="P127">
        <v>3713692.4</v>
      </c>
    </row>
    <row r="128" spans="1:16">
      <c r="A128">
        <v>67835.56</v>
      </c>
      <c r="B128">
        <v>35</v>
      </c>
      <c r="C128" t="s">
        <v>268</v>
      </c>
      <c r="D128" t="s">
        <v>269</v>
      </c>
      <c r="E128">
        <v>34</v>
      </c>
      <c r="F128">
        <v>35</v>
      </c>
      <c r="G128">
        <v>34</v>
      </c>
      <c r="H128">
        <v>38829844</v>
      </c>
      <c r="I128">
        <v>37769724</v>
      </c>
      <c r="J128">
        <v>38868756</v>
      </c>
      <c r="K128">
        <v>25.210662575401301</v>
      </c>
      <c r="L128">
        <v>25.170726905620299</v>
      </c>
      <c r="M128">
        <v>25.212107598969901</v>
      </c>
      <c r="N128">
        <v>10419527</v>
      </c>
      <c r="O128">
        <v>9757945.5999999996</v>
      </c>
      <c r="P128">
        <v>10103326.199999999</v>
      </c>
    </row>
    <row r="129" spans="1:16">
      <c r="A129">
        <v>32314.38</v>
      </c>
      <c r="B129">
        <v>13</v>
      </c>
      <c r="C129" t="s">
        <v>270</v>
      </c>
      <c r="D129" t="s">
        <v>271</v>
      </c>
      <c r="E129">
        <v>13</v>
      </c>
      <c r="F129">
        <v>12</v>
      </c>
      <c r="G129">
        <v>12</v>
      </c>
      <c r="H129">
        <v>1315999</v>
      </c>
      <c r="I129">
        <v>1184617.25</v>
      </c>
      <c r="J129">
        <v>1224415</v>
      </c>
      <c r="K129">
        <v>20.327726962124</v>
      </c>
      <c r="L129">
        <v>20.1759895687651</v>
      </c>
      <c r="M129">
        <v>20.223661193503801</v>
      </c>
      <c r="N129">
        <v>402724.7</v>
      </c>
      <c r="O129">
        <v>380882.8</v>
      </c>
      <c r="P129">
        <v>375762</v>
      </c>
    </row>
    <row r="130" spans="1:16">
      <c r="A130">
        <v>66595.710000000006</v>
      </c>
      <c r="B130">
        <v>43</v>
      </c>
      <c r="C130" t="s">
        <v>272</v>
      </c>
      <c r="D130" t="s">
        <v>273</v>
      </c>
      <c r="E130">
        <v>42</v>
      </c>
      <c r="F130">
        <v>43</v>
      </c>
      <c r="G130">
        <v>41</v>
      </c>
      <c r="H130">
        <v>13699139</v>
      </c>
      <c r="I130">
        <v>12883142</v>
      </c>
      <c r="J130">
        <v>13479336</v>
      </c>
      <c r="K130">
        <v>23.707581885903501</v>
      </c>
      <c r="L130">
        <v>23.618981151686999</v>
      </c>
      <c r="M130">
        <v>23.684246094477501</v>
      </c>
      <c r="N130">
        <v>6854364.7000000002</v>
      </c>
      <c r="O130">
        <v>6891100.2999999998</v>
      </c>
      <c r="P130">
        <v>7150190.7999999998</v>
      </c>
    </row>
    <row r="131" spans="1:16">
      <c r="A131">
        <v>48432.77</v>
      </c>
      <c r="B131">
        <v>30</v>
      </c>
      <c r="C131" t="s">
        <v>274</v>
      </c>
      <c r="D131" t="s">
        <v>275</v>
      </c>
      <c r="E131">
        <v>28</v>
      </c>
      <c r="F131">
        <v>30</v>
      </c>
      <c r="G131">
        <v>29</v>
      </c>
      <c r="H131">
        <v>18649588</v>
      </c>
      <c r="I131">
        <v>17368844</v>
      </c>
      <c r="J131">
        <v>16562652</v>
      </c>
      <c r="K131">
        <v>24.152640423543399</v>
      </c>
      <c r="L131">
        <v>24.049998401508802</v>
      </c>
      <c r="M131">
        <v>23.9814303588435</v>
      </c>
      <c r="N131">
        <v>13806713.699999999</v>
      </c>
      <c r="O131">
        <v>13542460.699999999</v>
      </c>
      <c r="P131">
        <v>13149556.199999999</v>
      </c>
    </row>
    <row r="132" spans="1:16">
      <c r="A132">
        <v>13782.04</v>
      </c>
      <c r="B132">
        <v>9</v>
      </c>
      <c r="C132" t="s">
        <v>276</v>
      </c>
      <c r="D132" t="s">
        <v>277</v>
      </c>
      <c r="E132">
        <v>8</v>
      </c>
      <c r="F132">
        <v>9</v>
      </c>
      <c r="G132">
        <v>8</v>
      </c>
      <c r="H132">
        <v>52384196</v>
      </c>
      <c r="I132">
        <v>71009048</v>
      </c>
      <c r="J132">
        <v>57349880</v>
      </c>
      <c r="K132">
        <v>25.642628289114601</v>
      </c>
      <c r="L132">
        <v>26.081499529294302</v>
      </c>
      <c r="M132">
        <v>25.773287131732701</v>
      </c>
      <c r="N132">
        <v>40502613.399999999</v>
      </c>
      <c r="O132">
        <v>32774662.800000001</v>
      </c>
      <c r="P132">
        <v>45275898.600000001</v>
      </c>
    </row>
    <row r="133" spans="1:16">
      <c r="A133">
        <v>33339.279999999999</v>
      </c>
      <c r="B133">
        <v>13</v>
      </c>
      <c r="C133" t="s">
        <v>278</v>
      </c>
      <c r="D133" t="s">
        <v>279</v>
      </c>
      <c r="E133">
        <v>13</v>
      </c>
      <c r="F133">
        <v>13</v>
      </c>
      <c r="G133">
        <v>11</v>
      </c>
      <c r="H133">
        <v>313226.71875</v>
      </c>
      <c r="I133">
        <v>313511.75</v>
      </c>
      <c r="J133">
        <v>297033.0625</v>
      </c>
      <c r="K133">
        <v>18.256847756554901</v>
      </c>
      <c r="L133">
        <v>18.258159988753</v>
      </c>
      <c r="M133">
        <v>18.180263999570599</v>
      </c>
      <c r="N133">
        <v>116165.6</v>
      </c>
      <c r="O133">
        <v>120613.8</v>
      </c>
      <c r="P133">
        <v>120380</v>
      </c>
    </row>
    <row r="134" spans="1:16">
      <c r="A134">
        <v>21308.82</v>
      </c>
      <c r="B134">
        <v>10</v>
      </c>
      <c r="C134" t="s">
        <v>280</v>
      </c>
      <c r="D134" t="s">
        <v>281</v>
      </c>
      <c r="E134">
        <v>10</v>
      </c>
      <c r="F134">
        <v>10</v>
      </c>
      <c r="G134">
        <v>10</v>
      </c>
      <c r="H134">
        <v>3647825.5</v>
      </c>
      <c r="I134">
        <v>3504549.5</v>
      </c>
      <c r="J134">
        <v>4374350</v>
      </c>
      <c r="K134">
        <v>21.7986052866815</v>
      </c>
      <c r="L134">
        <v>21.740797571081401</v>
      </c>
      <c r="M134">
        <v>22.060637227081699</v>
      </c>
      <c r="N134">
        <v>1572746.7</v>
      </c>
      <c r="O134">
        <v>1472215.6</v>
      </c>
      <c r="P134">
        <v>1964170.7</v>
      </c>
    </row>
    <row r="135" spans="1:16">
      <c r="A135">
        <v>10256.129999999999</v>
      </c>
      <c r="B135">
        <v>6</v>
      </c>
      <c r="C135" t="s">
        <v>282</v>
      </c>
      <c r="D135" t="s">
        <v>283</v>
      </c>
      <c r="E135">
        <v>5</v>
      </c>
      <c r="F135">
        <v>6</v>
      </c>
      <c r="G135">
        <v>5</v>
      </c>
      <c r="H135">
        <v>1846687.625</v>
      </c>
      <c r="I135">
        <v>5152146.5</v>
      </c>
      <c r="J135">
        <v>2875670</v>
      </c>
      <c r="K135">
        <v>20.816508418331601</v>
      </c>
      <c r="L135">
        <v>22.296742186033399</v>
      </c>
      <c r="M135">
        <v>21.4554666968818</v>
      </c>
      <c r="N135">
        <v>2934203.1</v>
      </c>
      <c r="O135">
        <v>6080355.5999999996</v>
      </c>
      <c r="P135">
        <v>3200084.6</v>
      </c>
    </row>
    <row r="136" spans="1:16">
      <c r="A136">
        <v>25346.26</v>
      </c>
      <c r="B136">
        <v>5</v>
      </c>
      <c r="C136" t="s">
        <v>284</v>
      </c>
      <c r="D136" t="s">
        <v>285</v>
      </c>
      <c r="E136">
        <v>5</v>
      </c>
      <c r="F136">
        <v>5</v>
      </c>
      <c r="G136">
        <v>5</v>
      </c>
      <c r="H136">
        <v>3382714</v>
      </c>
      <c r="I136">
        <v>3282097</v>
      </c>
      <c r="J136">
        <v>3962955</v>
      </c>
      <c r="K136">
        <v>21.689749775358202</v>
      </c>
      <c r="L136">
        <v>21.646186446613001</v>
      </c>
      <c r="M136">
        <v>21.9181451546857</v>
      </c>
      <c r="N136">
        <v>2919944.2</v>
      </c>
      <c r="O136">
        <v>2961774.4</v>
      </c>
      <c r="P136">
        <v>3662925.4</v>
      </c>
    </row>
    <row r="137" spans="1:16">
      <c r="A137">
        <v>68758.350000000006</v>
      </c>
      <c r="B137">
        <v>45</v>
      </c>
      <c r="C137" t="s">
        <v>286</v>
      </c>
      <c r="D137" t="s">
        <v>287</v>
      </c>
      <c r="E137">
        <v>42</v>
      </c>
      <c r="F137">
        <v>45</v>
      </c>
      <c r="G137">
        <v>43</v>
      </c>
      <c r="H137">
        <v>132973168</v>
      </c>
      <c r="I137">
        <v>147286784</v>
      </c>
      <c r="J137">
        <v>132542240</v>
      </c>
      <c r="K137">
        <v>26.986559919872999</v>
      </c>
      <c r="L137">
        <v>27.134052742676602</v>
      </c>
      <c r="M137">
        <v>26.981876965771502</v>
      </c>
      <c r="N137">
        <v>30720703.899999999</v>
      </c>
      <c r="O137">
        <v>31398433.600000001</v>
      </c>
      <c r="P137">
        <v>30789169.199999999</v>
      </c>
    </row>
    <row r="138" spans="1:16">
      <c r="A138">
        <v>11177.46</v>
      </c>
      <c r="B138">
        <v>4</v>
      </c>
      <c r="C138" t="s">
        <v>288</v>
      </c>
      <c r="D138" t="s">
        <v>289</v>
      </c>
      <c r="E138">
        <v>4</v>
      </c>
      <c r="F138">
        <v>4</v>
      </c>
      <c r="G138">
        <v>4</v>
      </c>
      <c r="H138">
        <v>1636747.125</v>
      </c>
      <c r="I138">
        <v>1554375.625</v>
      </c>
      <c r="J138">
        <v>1713461.875</v>
      </c>
      <c r="K138">
        <v>20.642400014111601</v>
      </c>
      <c r="L138">
        <v>20.567903751860701</v>
      </c>
      <c r="M138">
        <v>20.7084826611752</v>
      </c>
      <c r="N138">
        <v>2804809.6</v>
      </c>
      <c r="O138">
        <v>2654202.9</v>
      </c>
      <c r="P138">
        <v>3137931.6</v>
      </c>
    </row>
    <row r="139" spans="1:16">
      <c r="A139">
        <v>10834.6</v>
      </c>
      <c r="B139">
        <v>7</v>
      </c>
      <c r="C139" t="s">
        <v>290</v>
      </c>
      <c r="D139" t="s">
        <v>291</v>
      </c>
      <c r="E139">
        <v>7</v>
      </c>
      <c r="F139">
        <v>7</v>
      </c>
      <c r="G139">
        <v>7</v>
      </c>
      <c r="H139">
        <v>11601147</v>
      </c>
      <c r="I139">
        <v>11213107</v>
      </c>
      <c r="J139">
        <v>11531080</v>
      </c>
      <c r="K139">
        <v>23.467764115202801</v>
      </c>
      <c r="L139">
        <v>23.4186827489936</v>
      </c>
      <c r="M139">
        <v>23.4590243062277</v>
      </c>
      <c r="N139">
        <v>10231893</v>
      </c>
      <c r="O139">
        <v>9951494.5999999996</v>
      </c>
      <c r="P139">
        <v>10361992.300000001</v>
      </c>
    </row>
    <row r="140" spans="1:16">
      <c r="A140">
        <v>67532.42</v>
      </c>
      <c r="B140">
        <v>50</v>
      </c>
      <c r="C140" t="s">
        <v>292</v>
      </c>
      <c r="D140" t="s">
        <v>293</v>
      </c>
      <c r="E140">
        <v>48</v>
      </c>
      <c r="F140">
        <v>50</v>
      </c>
      <c r="G140">
        <v>48</v>
      </c>
      <c r="H140">
        <v>27865432</v>
      </c>
      <c r="I140">
        <v>29474616</v>
      </c>
      <c r="J140">
        <v>28207008</v>
      </c>
      <c r="K140">
        <v>24.7319731840164</v>
      </c>
      <c r="L140">
        <v>24.812969681877799</v>
      </c>
      <c r="M140">
        <v>24.749550307359801</v>
      </c>
      <c r="N140">
        <v>17878352.199999999</v>
      </c>
      <c r="O140">
        <v>18690702.399999999</v>
      </c>
      <c r="P140">
        <v>19068120.699999999</v>
      </c>
    </row>
    <row r="141" spans="1:16">
      <c r="A141">
        <v>19515.419999999998</v>
      </c>
      <c r="B141">
        <v>13</v>
      </c>
      <c r="C141" t="s">
        <v>294</v>
      </c>
      <c r="D141" t="s">
        <v>295</v>
      </c>
      <c r="E141">
        <v>13</v>
      </c>
      <c r="F141">
        <v>13</v>
      </c>
      <c r="G141">
        <v>13</v>
      </c>
      <c r="H141">
        <v>11915313</v>
      </c>
      <c r="I141">
        <v>15112765</v>
      </c>
      <c r="J141">
        <v>14107428</v>
      </c>
      <c r="K141">
        <v>23.506313513986999</v>
      </c>
      <c r="L141">
        <v>23.849264301342401</v>
      </c>
      <c r="M141">
        <v>23.749951650738101</v>
      </c>
      <c r="N141">
        <v>9228671.5999999996</v>
      </c>
      <c r="O141">
        <v>9212777</v>
      </c>
      <c r="P141">
        <v>9884658.8000000007</v>
      </c>
    </row>
    <row r="142" spans="1:16">
      <c r="A142">
        <v>24696.58</v>
      </c>
      <c r="B142">
        <v>12</v>
      </c>
      <c r="C142" t="s">
        <v>296</v>
      </c>
      <c r="D142" t="s">
        <v>297</v>
      </c>
      <c r="E142">
        <v>12</v>
      </c>
      <c r="F142">
        <v>12</v>
      </c>
      <c r="G142">
        <v>12</v>
      </c>
      <c r="H142">
        <v>3092385.75</v>
      </c>
      <c r="I142">
        <v>3016155.5</v>
      </c>
      <c r="J142">
        <v>2756347.75</v>
      </c>
      <c r="K142">
        <v>21.5602888642984</v>
      </c>
      <c r="L142">
        <v>21.524279378996901</v>
      </c>
      <c r="M142">
        <v>21.394326484054002</v>
      </c>
      <c r="N142">
        <v>4922329.9000000004</v>
      </c>
      <c r="O142">
        <v>4956036.5999999996</v>
      </c>
      <c r="P142">
        <v>4540597.7</v>
      </c>
    </row>
    <row r="143" spans="1:16">
      <c r="A143">
        <v>170997.9</v>
      </c>
      <c r="B143">
        <v>68</v>
      </c>
      <c r="C143" t="s">
        <v>298</v>
      </c>
      <c r="D143" t="s">
        <v>299</v>
      </c>
      <c r="E143">
        <v>66</v>
      </c>
      <c r="F143">
        <v>68</v>
      </c>
      <c r="G143">
        <v>66</v>
      </c>
      <c r="H143">
        <v>7792986.5</v>
      </c>
      <c r="I143">
        <v>7757074</v>
      </c>
      <c r="J143">
        <v>7371587.5</v>
      </c>
      <c r="K143">
        <v>22.8937448864483</v>
      </c>
      <c r="L143">
        <v>22.887081133883399</v>
      </c>
      <c r="M143">
        <v>22.813543912084</v>
      </c>
      <c r="N143">
        <v>1643374.3</v>
      </c>
      <c r="O143">
        <v>1613254.5</v>
      </c>
      <c r="P143">
        <v>1621038</v>
      </c>
    </row>
    <row r="144" spans="1:16">
      <c r="A144">
        <v>39789.839999999997</v>
      </c>
      <c r="B144">
        <v>6</v>
      </c>
      <c r="C144" t="s">
        <v>300</v>
      </c>
      <c r="D144" t="s">
        <v>301</v>
      </c>
      <c r="E144">
        <v>6</v>
      </c>
      <c r="F144">
        <v>6</v>
      </c>
      <c r="G144">
        <v>6</v>
      </c>
      <c r="H144">
        <v>3766996.5</v>
      </c>
      <c r="I144">
        <v>3889842</v>
      </c>
      <c r="J144">
        <v>3696810</v>
      </c>
      <c r="K144">
        <v>21.8449832621701</v>
      </c>
      <c r="L144">
        <v>21.891280125449299</v>
      </c>
      <c r="M144">
        <v>21.817849466486901</v>
      </c>
      <c r="N144">
        <v>930147.9</v>
      </c>
      <c r="O144">
        <v>847277</v>
      </c>
      <c r="P144">
        <v>891940.1</v>
      </c>
    </row>
    <row r="145" spans="1:16">
      <c r="A145">
        <v>40672.379999999997</v>
      </c>
      <c r="B145">
        <v>35</v>
      </c>
      <c r="C145" t="s">
        <v>302</v>
      </c>
      <c r="D145" t="s">
        <v>303</v>
      </c>
      <c r="E145">
        <v>31</v>
      </c>
      <c r="F145">
        <v>35</v>
      </c>
      <c r="G145">
        <v>33</v>
      </c>
      <c r="H145">
        <v>169126688</v>
      </c>
      <c r="I145">
        <v>164701552</v>
      </c>
      <c r="J145">
        <v>172022864</v>
      </c>
      <c r="K145">
        <v>27.333529092455599</v>
      </c>
      <c r="L145">
        <v>27.295278908893899</v>
      </c>
      <c r="M145">
        <v>27.3580250890681</v>
      </c>
      <c r="N145">
        <v>76551005.900000006</v>
      </c>
      <c r="O145">
        <v>70927044.599999994</v>
      </c>
      <c r="P145">
        <v>73569320.200000003</v>
      </c>
    </row>
    <row r="146" spans="1:16">
      <c r="A146">
        <v>38423.75</v>
      </c>
      <c r="B146">
        <v>16</v>
      </c>
      <c r="C146" t="s">
        <v>304</v>
      </c>
      <c r="D146" t="s">
        <v>305</v>
      </c>
      <c r="E146">
        <v>16</v>
      </c>
      <c r="F146">
        <v>16</v>
      </c>
      <c r="G146">
        <v>15</v>
      </c>
      <c r="H146">
        <v>5779440</v>
      </c>
      <c r="I146">
        <v>5857343.5</v>
      </c>
      <c r="J146">
        <v>5620302</v>
      </c>
      <c r="K146">
        <v>22.4624982785963</v>
      </c>
      <c r="L146">
        <v>22.481815072140201</v>
      </c>
      <c r="M146">
        <v>22.4222162232928</v>
      </c>
      <c r="N146">
        <v>3247925.5</v>
      </c>
      <c r="O146">
        <v>3427792</v>
      </c>
      <c r="P146">
        <v>3118310.6</v>
      </c>
    </row>
    <row r="147" spans="1:16">
      <c r="A147">
        <v>27243.06</v>
      </c>
      <c r="B147">
        <v>4</v>
      </c>
      <c r="C147" t="s">
        <v>306</v>
      </c>
      <c r="D147" t="s">
        <v>307</v>
      </c>
      <c r="E147">
        <v>4</v>
      </c>
      <c r="F147">
        <v>4</v>
      </c>
      <c r="G147">
        <v>4</v>
      </c>
      <c r="H147">
        <v>20488394</v>
      </c>
      <c r="I147">
        <v>19292852</v>
      </c>
      <c r="J147">
        <v>21106044</v>
      </c>
      <c r="K147">
        <v>24.2883035661281</v>
      </c>
      <c r="L147">
        <v>24.201563092311801</v>
      </c>
      <c r="M147">
        <v>24.3311528574669</v>
      </c>
      <c r="N147">
        <v>7596988.5</v>
      </c>
      <c r="O147">
        <v>6898711.2999999998</v>
      </c>
      <c r="P147">
        <v>7731141.4000000004</v>
      </c>
    </row>
    <row r="148" spans="1:16">
      <c r="A148">
        <v>6091.06</v>
      </c>
      <c r="B148">
        <v>1</v>
      </c>
      <c r="C148" t="s">
        <v>308</v>
      </c>
      <c r="D148" t="s">
        <v>309</v>
      </c>
      <c r="E148">
        <v>1</v>
      </c>
      <c r="F148">
        <v>1</v>
      </c>
      <c r="G148">
        <v>1</v>
      </c>
      <c r="H148">
        <v>2712309.5</v>
      </c>
      <c r="I148">
        <v>356172.90625</v>
      </c>
      <c r="J148">
        <v>1982129.5</v>
      </c>
      <c r="K148">
        <v>21.371090382252099</v>
      </c>
      <c r="L148">
        <v>18.442218250546599</v>
      </c>
      <c r="M148">
        <v>20.9186197916389</v>
      </c>
      <c r="N148">
        <v>904103.2</v>
      </c>
      <c r="O148">
        <v>118724.3</v>
      </c>
      <c r="P148">
        <v>660709.80000000005</v>
      </c>
    </row>
    <row r="149" spans="1:16">
      <c r="A149">
        <v>72953.100000000006</v>
      </c>
      <c r="B149">
        <v>43</v>
      </c>
      <c r="C149" t="s">
        <v>310</v>
      </c>
      <c r="D149" t="s">
        <v>311</v>
      </c>
      <c r="E149">
        <v>40</v>
      </c>
      <c r="F149">
        <v>43</v>
      </c>
      <c r="G149">
        <v>40</v>
      </c>
      <c r="H149">
        <v>49914552</v>
      </c>
      <c r="I149">
        <v>49151496</v>
      </c>
      <c r="J149">
        <v>50971648</v>
      </c>
      <c r="K149">
        <v>25.572957141851099</v>
      </c>
      <c r="L149">
        <v>25.550731992047702</v>
      </c>
      <c r="M149">
        <v>25.6031916629912</v>
      </c>
      <c r="N149">
        <v>15254005.1</v>
      </c>
      <c r="O149">
        <v>14656024.300000001</v>
      </c>
      <c r="P149">
        <v>15852148.6</v>
      </c>
    </row>
    <row r="150" spans="1:16">
      <c r="A150">
        <v>8896.92</v>
      </c>
      <c r="B150">
        <v>5</v>
      </c>
      <c r="C150" t="s">
        <v>312</v>
      </c>
      <c r="D150" t="s">
        <v>313</v>
      </c>
      <c r="E150">
        <v>5</v>
      </c>
      <c r="F150">
        <v>5</v>
      </c>
      <c r="G150">
        <v>5</v>
      </c>
      <c r="H150">
        <v>14550185</v>
      </c>
      <c r="I150">
        <v>18952900</v>
      </c>
      <c r="J150">
        <v>17469294</v>
      </c>
      <c r="K150">
        <v>23.794534160773601</v>
      </c>
      <c r="L150">
        <v>24.175915277542799</v>
      </c>
      <c r="M150">
        <v>24.0583179689012</v>
      </c>
      <c r="N150">
        <v>19434781.100000001</v>
      </c>
      <c r="O150">
        <v>33536988.199999999</v>
      </c>
      <c r="P150">
        <v>30786886</v>
      </c>
    </row>
    <row r="151" spans="1:16">
      <c r="A151">
        <v>58427.38</v>
      </c>
      <c r="B151">
        <v>6</v>
      </c>
      <c r="C151" t="s">
        <v>314</v>
      </c>
      <c r="D151" t="s">
        <v>315</v>
      </c>
      <c r="E151">
        <v>6</v>
      </c>
      <c r="F151">
        <v>6</v>
      </c>
      <c r="G151">
        <v>6</v>
      </c>
      <c r="H151">
        <v>2360652.25</v>
      </c>
      <c r="I151">
        <v>2263767</v>
      </c>
      <c r="J151">
        <v>2083073</v>
      </c>
      <c r="K151">
        <v>21.170754101720199</v>
      </c>
      <c r="L151">
        <v>21.110294044612701</v>
      </c>
      <c r="M151">
        <v>20.9902819679406</v>
      </c>
      <c r="N151">
        <v>770304</v>
      </c>
      <c r="O151">
        <v>768995.8</v>
      </c>
      <c r="P151">
        <v>702308.8</v>
      </c>
    </row>
    <row r="152" spans="1:16">
      <c r="A152">
        <v>30591.58</v>
      </c>
      <c r="B152">
        <v>15</v>
      </c>
      <c r="C152" t="s">
        <v>316</v>
      </c>
      <c r="D152" t="s">
        <v>317</v>
      </c>
      <c r="E152">
        <v>14</v>
      </c>
      <c r="F152">
        <v>15</v>
      </c>
      <c r="G152">
        <v>13</v>
      </c>
      <c r="H152">
        <v>5464046</v>
      </c>
      <c r="I152">
        <v>5303022</v>
      </c>
      <c r="J152">
        <v>4956732.5</v>
      </c>
      <c r="K152">
        <v>22.381538198576699</v>
      </c>
      <c r="L152">
        <v>22.338383302947999</v>
      </c>
      <c r="M152">
        <v>22.240957972304901</v>
      </c>
      <c r="N152">
        <v>2274772.7000000002</v>
      </c>
      <c r="O152">
        <v>2626724</v>
      </c>
      <c r="P152">
        <v>2271320.6</v>
      </c>
    </row>
    <row r="153" spans="1:16">
      <c r="A153">
        <v>32796.629999999997</v>
      </c>
      <c r="B153">
        <v>5</v>
      </c>
      <c r="C153" t="s">
        <v>318</v>
      </c>
      <c r="D153" t="s">
        <v>319</v>
      </c>
      <c r="E153">
        <v>5</v>
      </c>
      <c r="F153">
        <v>5</v>
      </c>
      <c r="G153">
        <v>4</v>
      </c>
      <c r="H153">
        <v>2424592</v>
      </c>
      <c r="I153">
        <v>2453660.25</v>
      </c>
      <c r="J153">
        <v>2413029</v>
      </c>
      <c r="K153">
        <v>21.2093105664799</v>
      </c>
      <c r="L153">
        <v>21.226504067072401</v>
      </c>
      <c r="M153">
        <v>21.202413823421001</v>
      </c>
      <c r="N153">
        <v>777313.5</v>
      </c>
      <c r="O153">
        <v>757261.3</v>
      </c>
      <c r="P153">
        <v>790600.4</v>
      </c>
    </row>
    <row r="154" spans="1:16">
      <c r="A154">
        <v>24335.46</v>
      </c>
      <c r="B154">
        <v>16</v>
      </c>
      <c r="C154" t="s">
        <v>320</v>
      </c>
      <c r="D154" t="s">
        <v>321</v>
      </c>
      <c r="E154">
        <v>14</v>
      </c>
      <c r="F154">
        <v>15</v>
      </c>
      <c r="G154">
        <v>15</v>
      </c>
      <c r="H154">
        <v>12892696</v>
      </c>
      <c r="I154">
        <v>12814825</v>
      </c>
      <c r="J154">
        <v>12948491</v>
      </c>
      <c r="K154">
        <v>23.620050642351199</v>
      </c>
      <c r="L154">
        <v>23.6113104414476</v>
      </c>
      <c r="M154">
        <v>23.626280642149101</v>
      </c>
      <c r="N154">
        <v>5181598.5</v>
      </c>
      <c r="O154">
        <v>4876931</v>
      </c>
      <c r="P154">
        <v>5495329</v>
      </c>
    </row>
    <row r="155" spans="1:16">
      <c r="A155">
        <v>29618.5</v>
      </c>
      <c r="B155">
        <v>19</v>
      </c>
      <c r="C155" t="s">
        <v>322</v>
      </c>
      <c r="D155" t="s">
        <v>323</v>
      </c>
      <c r="E155">
        <v>19</v>
      </c>
      <c r="F155">
        <v>19</v>
      </c>
      <c r="G155">
        <v>17</v>
      </c>
      <c r="H155">
        <v>7749761.5</v>
      </c>
      <c r="I155">
        <v>7654647</v>
      </c>
      <c r="J155">
        <v>7178824</v>
      </c>
      <c r="K155">
        <v>22.885720481251401</v>
      </c>
      <c r="L155">
        <v>22.8679044175793</v>
      </c>
      <c r="M155">
        <v>22.7753160974497</v>
      </c>
      <c r="N155">
        <v>4553374.0999999996</v>
      </c>
      <c r="O155">
        <v>4262629.3</v>
      </c>
      <c r="P155">
        <v>4464760.4000000004</v>
      </c>
    </row>
    <row r="156" spans="1:16">
      <c r="A156">
        <v>24277.93</v>
      </c>
      <c r="B156">
        <v>15</v>
      </c>
      <c r="C156" t="s">
        <v>324</v>
      </c>
      <c r="D156" t="s">
        <v>325</v>
      </c>
      <c r="E156">
        <v>13</v>
      </c>
      <c r="F156">
        <v>15</v>
      </c>
      <c r="G156">
        <v>15</v>
      </c>
      <c r="H156">
        <v>14718259</v>
      </c>
      <c r="I156">
        <v>13574590</v>
      </c>
      <c r="J156">
        <v>13523304</v>
      </c>
      <c r="K156">
        <v>23.8111036915429</v>
      </c>
      <c r="L156">
        <v>23.694405288473199</v>
      </c>
      <c r="M156">
        <v>23.688944336695101</v>
      </c>
      <c r="N156">
        <v>7636712.5</v>
      </c>
      <c r="O156">
        <v>7819961.7000000002</v>
      </c>
      <c r="P156">
        <v>8074762.9000000004</v>
      </c>
    </row>
    <row r="157" spans="1:16">
      <c r="A157">
        <v>32823.910000000003</v>
      </c>
      <c r="B157">
        <v>9</v>
      </c>
      <c r="C157" t="s">
        <v>326</v>
      </c>
      <c r="D157" t="s">
        <v>327</v>
      </c>
      <c r="E157">
        <v>8</v>
      </c>
      <c r="F157">
        <v>9</v>
      </c>
      <c r="G157">
        <v>8</v>
      </c>
      <c r="H157">
        <v>4428861</v>
      </c>
      <c r="I157">
        <v>4217888.5</v>
      </c>
      <c r="J157">
        <v>4284389.5</v>
      </c>
      <c r="K157">
        <v>22.0785042882097</v>
      </c>
      <c r="L157">
        <v>22.008089527276201</v>
      </c>
      <c r="M157">
        <v>22.030658212851801</v>
      </c>
      <c r="N157">
        <v>2698825.2</v>
      </c>
      <c r="O157">
        <v>2958699</v>
      </c>
      <c r="P157">
        <v>2922973.4</v>
      </c>
    </row>
    <row r="158" spans="1:16">
      <c r="A158">
        <v>25615.65</v>
      </c>
      <c r="B158">
        <v>13</v>
      </c>
      <c r="C158" t="s">
        <v>328</v>
      </c>
      <c r="D158" t="s">
        <v>329</v>
      </c>
      <c r="E158">
        <v>12</v>
      </c>
      <c r="F158">
        <v>13</v>
      </c>
      <c r="G158">
        <v>13</v>
      </c>
      <c r="H158">
        <v>103808216</v>
      </c>
      <c r="I158">
        <v>135351296</v>
      </c>
      <c r="J158">
        <v>116938680</v>
      </c>
      <c r="K158">
        <v>26.629345390784799</v>
      </c>
      <c r="L158">
        <v>27.012133460643799</v>
      </c>
      <c r="M158">
        <v>26.801176970525901</v>
      </c>
      <c r="N158">
        <v>39552175</v>
      </c>
      <c r="O158">
        <v>40211892.899999999</v>
      </c>
      <c r="P158">
        <v>37030917.5</v>
      </c>
    </row>
    <row r="159" spans="1:16">
      <c r="A159">
        <v>21453.4</v>
      </c>
      <c r="B159">
        <v>15</v>
      </c>
      <c r="C159" t="s">
        <v>330</v>
      </c>
      <c r="D159" t="s">
        <v>331</v>
      </c>
      <c r="E159">
        <v>15</v>
      </c>
      <c r="F159">
        <v>15</v>
      </c>
      <c r="G159">
        <v>15</v>
      </c>
      <c r="H159">
        <v>101316184</v>
      </c>
      <c r="I159">
        <v>112817096</v>
      </c>
      <c r="J159">
        <v>108905576</v>
      </c>
      <c r="K159">
        <v>26.594289404231201</v>
      </c>
      <c r="L159">
        <v>26.749410465537199</v>
      </c>
      <c r="M159">
        <v>26.698502581488</v>
      </c>
      <c r="N159">
        <v>92209210.099999994</v>
      </c>
      <c r="O159">
        <v>89282168.900000006</v>
      </c>
      <c r="P159">
        <v>97499548.5</v>
      </c>
    </row>
    <row r="160" spans="1:16">
      <c r="A160">
        <v>34038.68</v>
      </c>
      <c r="B160">
        <v>5</v>
      </c>
      <c r="C160" t="s">
        <v>332</v>
      </c>
      <c r="D160" t="s">
        <v>333</v>
      </c>
      <c r="E160">
        <v>5</v>
      </c>
      <c r="F160">
        <v>5</v>
      </c>
      <c r="G160">
        <v>5</v>
      </c>
      <c r="H160">
        <v>14179113</v>
      </c>
      <c r="I160">
        <v>16335643</v>
      </c>
      <c r="J160">
        <v>15115212</v>
      </c>
      <c r="K160">
        <v>23.7572639492201</v>
      </c>
      <c r="L160">
        <v>23.9615199071512</v>
      </c>
      <c r="M160">
        <v>23.849497877990501</v>
      </c>
      <c r="N160">
        <v>4907581.3</v>
      </c>
      <c r="O160">
        <v>5112863.9000000004</v>
      </c>
      <c r="P160">
        <v>5201962.8</v>
      </c>
    </row>
    <row r="161" spans="1:16">
      <c r="A161">
        <v>27427.67</v>
      </c>
      <c r="B161">
        <v>13</v>
      </c>
      <c r="C161" t="s">
        <v>334</v>
      </c>
      <c r="D161" t="s">
        <v>335</v>
      </c>
      <c r="E161">
        <v>13</v>
      </c>
      <c r="F161">
        <v>13</v>
      </c>
      <c r="G161">
        <v>13</v>
      </c>
      <c r="H161">
        <v>5352889.5</v>
      </c>
      <c r="I161">
        <v>5172719</v>
      </c>
      <c r="J161">
        <v>5234910</v>
      </c>
      <c r="K161">
        <v>22.351886440649299</v>
      </c>
      <c r="L161">
        <v>22.302491390806299</v>
      </c>
      <c r="M161">
        <v>22.319733303486899</v>
      </c>
      <c r="N161">
        <v>2163094.4</v>
      </c>
      <c r="O161">
        <v>2046220.8</v>
      </c>
      <c r="P161">
        <v>2185904.7000000002</v>
      </c>
    </row>
    <row r="162" spans="1:16">
      <c r="A162">
        <v>25458.5</v>
      </c>
      <c r="B162">
        <v>14</v>
      </c>
      <c r="C162" t="s">
        <v>336</v>
      </c>
      <c r="D162" t="s">
        <v>337</v>
      </c>
      <c r="E162">
        <v>13</v>
      </c>
      <c r="F162">
        <v>14</v>
      </c>
      <c r="G162">
        <v>13</v>
      </c>
      <c r="H162">
        <v>5025984</v>
      </c>
      <c r="I162">
        <v>5304302</v>
      </c>
      <c r="J162">
        <v>5149514.5</v>
      </c>
      <c r="K162">
        <v>22.2609746477935</v>
      </c>
      <c r="L162">
        <v>22.338731486836998</v>
      </c>
      <c r="M162">
        <v>22.296004989686001</v>
      </c>
      <c r="N162">
        <v>3576432.9</v>
      </c>
      <c r="O162">
        <v>3708061.7</v>
      </c>
      <c r="P162">
        <v>4029499.6</v>
      </c>
    </row>
    <row r="163" spans="1:16">
      <c r="A163">
        <v>49682.66</v>
      </c>
      <c r="B163">
        <v>28</v>
      </c>
      <c r="C163" t="s">
        <v>338</v>
      </c>
      <c r="D163" t="s">
        <v>339</v>
      </c>
      <c r="E163">
        <v>28</v>
      </c>
      <c r="F163">
        <v>28</v>
      </c>
      <c r="G163">
        <v>27</v>
      </c>
      <c r="H163">
        <v>22686068</v>
      </c>
      <c r="I163">
        <v>24780346</v>
      </c>
      <c r="J163">
        <v>22705604</v>
      </c>
      <c r="K163">
        <v>24.4353032437606</v>
      </c>
      <c r="L163">
        <v>24.562692995717399</v>
      </c>
      <c r="M163">
        <v>24.436545079137801</v>
      </c>
      <c r="N163">
        <v>7136788.2999999998</v>
      </c>
      <c r="O163">
        <v>7027071.2999999998</v>
      </c>
      <c r="P163">
        <v>7283484.7000000002</v>
      </c>
    </row>
    <row r="164" spans="1:16">
      <c r="A164">
        <v>10011.66</v>
      </c>
      <c r="B164">
        <v>4</v>
      </c>
      <c r="C164" t="s">
        <v>340</v>
      </c>
      <c r="D164" t="s">
        <v>341</v>
      </c>
      <c r="E164">
        <v>4</v>
      </c>
      <c r="F164">
        <v>4</v>
      </c>
      <c r="G164">
        <v>4</v>
      </c>
      <c r="H164">
        <v>2525153.5</v>
      </c>
      <c r="I164">
        <v>3393762.25</v>
      </c>
      <c r="J164">
        <v>3405969</v>
      </c>
      <c r="K164">
        <v>21.267939658953999</v>
      </c>
      <c r="L164">
        <v>21.6944540697497</v>
      </c>
      <c r="M164">
        <v>21.699633873468699</v>
      </c>
      <c r="N164">
        <v>2019366</v>
      </c>
      <c r="O164">
        <v>2261222.2999999998</v>
      </c>
      <c r="P164">
        <v>2130997.2999999998</v>
      </c>
    </row>
    <row r="165" spans="1:16">
      <c r="A165">
        <v>21528.400000000001</v>
      </c>
      <c r="B165">
        <v>9</v>
      </c>
      <c r="C165" t="s">
        <v>342</v>
      </c>
      <c r="D165" t="s">
        <v>343</v>
      </c>
      <c r="E165">
        <v>9</v>
      </c>
      <c r="F165">
        <v>9</v>
      </c>
      <c r="G165">
        <v>9</v>
      </c>
      <c r="H165">
        <v>1120679.875</v>
      </c>
      <c r="I165">
        <v>1113313.25</v>
      </c>
      <c r="J165">
        <v>1048608.25</v>
      </c>
      <c r="K165">
        <v>20.095942796881399</v>
      </c>
      <c r="L165">
        <v>20.086428146404</v>
      </c>
      <c r="M165">
        <v>20.000044370841501</v>
      </c>
      <c r="N165">
        <v>423927.1</v>
      </c>
      <c r="O165">
        <v>384269.1</v>
      </c>
      <c r="P165">
        <v>412819.6</v>
      </c>
    </row>
    <row r="166" spans="1:16">
      <c r="A166">
        <v>14996.29</v>
      </c>
      <c r="B166">
        <v>11</v>
      </c>
      <c r="C166" t="s">
        <v>344</v>
      </c>
      <c r="D166" t="s">
        <v>345</v>
      </c>
      <c r="E166">
        <v>10</v>
      </c>
      <c r="F166">
        <v>11</v>
      </c>
      <c r="G166">
        <v>11</v>
      </c>
      <c r="H166">
        <v>23204102</v>
      </c>
      <c r="I166">
        <v>22644710</v>
      </c>
      <c r="J166">
        <v>26866348</v>
      </c>
      <c r="K166">
        <v>24.467876530424</v>
      </c>
      <c r="L166">
        <v>24.432670727810599</v>
      </c>
      <c r="M166">
        <v>24.679296890275399</v>
      </c>
      <c r="N166">
        <v>22548354.699999999</v>
      </c>
      <c r="O166">
        <v>22042705.199999999</v>
      </c>
      <c r="P166">
        <v>25741245.600000001</v>
      </c>
    </row>
    <row r="167" spans="1:16">
      <c r="A167">
        <v>57613.03</v>
      </c>
      <c r="B167">
        <v>31</v>
      </c>
      <c r="C167" t="s">
        <v>346</v>
      </c>
      <c r="D167" t="s">
        <v>347</v>
      </c>
      <c r="E167">
        <v>30</v>
      </c>
      <c r="F167">
        <v>31</v>
      </c>
      <c r="G167">
        <v>29</v>
      </c>
      <c r="H167">
        <v>37459400</v>
      </c>
      <c r="I167">
        <v>39167076</v>
      </c>
      <c r="J167">
        <v>40788064</v>
      </c>
      <c r="K167">
        <v>25.158824455838399</v>
      </c>
      <c r="L167">
        <v>25.223138092787099</v>
      </c>
      <c r="M167">
        <v>25.2816436956399</v>
      </c>
      <c r="N167">
        <v>9424367.6999999993</v>
      </c>
      <c r="O167">
        <v>9249128.1999999993</v>
      </c>
      <c r="P167">
        <v>9236298.5</v>
      </c>
    </row>
    <row r="168" spans="1:16">
      <c r="A168">
        <v>50105.45</v>
      </c>
      <c r="B168">
        <v>41</v>
      </c>
      <c r="C168" t="s">
        <v>348</v>
      </c>
      <c r="D168" t="s">
        <v>349</v>
      </c>
      <c r="E168">
        <v>41</v>
      </c>
      <c r="F168">
        <v>41</v>
      </c>
      <c r="G168">
        <v>39</v>
      </c>
      <c r="H168">
        <v>30980844</v>
      </c>
      <c r="I168">
        <v>34808088</v>
      </c>
      <c r="J168">
        <v>33950252</v>
      </c>
      <c r="K168">
        <v>24.884873111696901</v>
      </c>
      <c r="L168">
        <v>25.052919233553801</v>
      </c>
      <c r="M168">
        <v>25.016918947305999</v>
      </c>
      <c r="N168">
        <v>25081734.399999999</v>
      </c>
      <c r="O168">
        <v>24548974.800000001</v>
      </c>
      <c r="P168">
        <v>26986599.600000001</v>
      </c>
    </row>
    <row r="169" spans="1:16">
      <c r="A169">
        <v>18386.68</v>
      </c>
      <c r="B169">
        <v>11</v>
      </c>
      <c r="C169" t="s">
        <v>350</v>
      </c>
      <c r="D169" t="s">
        <v>351</v>
      </c>
      <c r="E169">
        <v>10</v>
      </c>
      <c r="F169">
        <v>11</v>
      </c>
      <c r="G169">
        <v>10</v>
      </c>
      <c r="H169">
        <v>9370455</v>
      </c>
      <c r="I169">
        <v>11242521</v>
      </c>
      <c r="J169">
        <v>8266406</v>
      </c>
      <c r="K169">
        <v>23.159687671670302</v>
      </c>
      <c r="L169">
        <v>23.422462243043199</v>
      </c>
      <c r="M169">
        <v>22.9788287919529</v>
      </c>
      <c r="N169">
        <v>6751813.5999999996</v>
      </c>
      <c r="O169">
        <v>8581772.5</v>
      </c>
      <c r="P169">
        <v>6698272.2000000002</v>
      </c>
    </row>
    <row r="170" spans="1:16">
      <c r="A170">
        <v>10565.4</v>
      </c>
      <c r="B170">
        <v>5</v>
      </c>
      <c r="C170" t="s">
        <v>352</v>
      </c>
      <c r="D170" t="s">
        <v>353</v>
      </c>
      <c r="E170">
        <v>5</v>
      </c>
      <c r="F170">
        <v>5</v>
      </c>
      <c r="G170">
        <v>5</v>
      </c>
      <c r="H170">
        <v>3789734.5</v>
      </c>
      <c r="I170">
        <v>4445744.5</v>
      </c>
      <c r="J170">
        <v>3564841.25</v>
      </c>
      <c r="K170">
        <v>21.8536653493959</v>
      </c>
      <c r="L170">
        <v>22.0839936073933</v>
      </c>
      <c r="M170">
        <v>21.7654064011301</v>
      </c>
      <c r="N170">
        <v>7495875.2000000002</v>
      </c>
      <c r="O170">
        <v>8430123.5</v>
      </c>
      <c r="P170">
        <v>7340586.4000000004</v>
      </c>
    </row>
    <row r="171" spans="1:16">
      <c r="A171">
        <v>19034.3</v>
      </c>
      <c r="B171">
        <v>13</v>
      </c>
      <c r="C171" t="s">
        <v>354</v>
      </c>
      <c r="D171" t="s">
        <v>355</v>
      </c>
      <c r="E171">
        <v>13</v>
      </c>
      <c r="F171">
        <v>13</v>
      </c>
      <c r="G171">
        <v>11</v>
      </c>
      <c r="H171">
        <v>3253118.25</v>
      </c>
      <c r="I171">
        <v>3051935.5</v>
      </c>
      <c r="J171">
        <v>3273348.5</v>
      </c>
      <c r="K171">
        <v>21.633391834244801</v>
      </c>
      <c r="L171">
        <v>21.541293041715001</v>
      </c>
      <c r="M171">
        <v>21.6423357777124</v>
      </c>
      <c r="N171">
        <v>1773489</v>
      </c>
      <c r="O171">
        <v>1612705.5</v>
      </c>
      <c r="P171">
        <v>1847887.4</v>
      </c>
    </row>
    <row r="172" spans="1:16">
      <c r="A172">
        <v>27663.71</v>
      </c>
      <c r="B172">
        <v>13</v>
      </c>
      <c r="C172" t="s">
        <v>356</v>
      </c>
      <c r="D172" t="s">
        <v>357</v>
      </c>
      <c r="E172">
        <v>13</v>
      </c>
      <c r="F172">
        <v>13</v>
      </c>
      <c r="G172">
        <v>13</v>
      </c>
      <c r="H172">
        <v>978286.125</v>
      </c>
      <c r="I172">
        <v>1089818.875</v>
      </c>
      <c r="J172">
        <v>829137.625</v>
      </c>
      <c r="K172">
        <v>19.899896954692998</v>
      </c>
      <c r="L172">
        <v>20.0556569521681</v>
      </c>
      <c r="M172">
        <v>19.661252062799299</v>
      </c>
      <c r="N172">
        <v>495150.6</v>
      </c>
      <c r="O172">
        <v>580420.19999999995</v>
      </c>
      <c r="P172">
        <v>489412.7</v>
      </c>
    </row>
    <row r="173" spans="1:16">
      <c r="A173">
        <v>14475.97</v>
      </c>
      <c r="B173">
        <v>17</v>
      </c>
      <c r="C173" t="s">
        <v>358</v>
      </c>
      <c r="D173" t="s">
        <v>359</v>
      </c>
      <c r="E173">
        <v>15</v>
      </c>
      <c r="F173">
        <v>15</v>
      </c>
      <c r="G173">
        <v>15</v>
      </c>
      <c r="H173">
        <v>159538208</v>
      </c>
      <c r="I173">
        <v>199842464</v>
      </c>
      <c r="J173">
        <v>191501424</v>
      </c>
      <c r="K173">
        <v>27.249326737263999</v>
      </c>
      <c r="L173">
        <v>27.574287929281201</v>
      </c>
      <c r="M173">
        <v>27.512779879134701</v>
      </c>
      <c r="N173">
        <v>133011864.09999999</v>
      </c>
      <c r="O173">
        <v>130910936.3</v>
      </c>
      <c r="P173">
        <v>139081324.40000001</v>
      </c>
    </row>
    <row r="174" spans="1:16">
      <c r="A174">
        <v>36079.919999999998</v>
      </c>
      <c r="B174">
        <v>22</v>
      </c>
      <c r="C174" t="s">
        <v>360</v>
      </c>
      <c r="D174" t="s">
        <v>361</v>
      </c>
      <c r="E174">
        <v>21</v>
      </c>
      <c r="F174">
        <v>22</v>
      </c>
      <c r="G174">
        <v>21</v>
      </c>
      <c r="H174">
        <v>45664324</v>
      </c>
      <c r="I174">
        <v>46493924</v>
      </c>
      <c r="J174">
        <v>44747252</v>
      </c>
      <c r="K174">
        <v>25.4445641404626</v>
      </c>
      <c r="L174">
        <v>25.470538855962999</v>
      </c>
      <c r="M174">
        <v>25.415295751108999</v>
      </c>
      <c r="N174">
        <v>13929288.300000001</v>
      </c>
      <c r="O174">
        <v>15105057.4</v>
      </c>
      <c r="P174">
        <v>14669117.199999999</v>
      </c>
    </row>
    <row r="175" spans="1:16">
      <c r="A175">
        <v>70966.509999999995</v>
      </c>
      <c r="B175">
        <v>32</v>
      </c>
      <c r="C175" t="s">
        <v>362</v>
      </c>
      <c r="D175" t="s">
        <v>363</v>
      </c>
      <c r="E175">
        <v>32</v>
      </c>
      <c r="F175">
        <v>32</v>
      </c>
      <c r="G175">
        <v>32</v>
      </c>
      <c r="H175">
        <v>20824328</v>
      </c>
      <c r="I175">
        <v>21835504</v>
      </c>
      <c r="J175">
        <v>20579778</v>
      </c>
      <c r="K175">
        <v>24.311766604858299</v>
      </c>
      <c r="L175">
        <v>24.3801724955316</v>
      </c>
      <c r="M175">
        <v>24.294724083759899</v>
      </c>
      <c r="N175">
        <v>6072247.7000000002</v>
      </c>
      <c r="O175">
        <v>6341648.9000000004</v>
      </c>
      <c r="P175">
        <v>6127487.7000000002</v>
      </c>
    </row>
    <row r="176" spans="1:16">
      <c r="A176">
        <v>69781.42</v>
      </c>
      <c r="B176">
        <v>36</v>
      </c>
      <c r="C176" t="s">
        <v>364</v>
      </c>
      <c r="D176" t="s">
        <v>365</v>
      </c>
      <c r="E176">
        <v>34</v>
      </c>
      <c r="F176">
        <v>36</v>
      </c>
      <c r="G176">
        <v>33</v>
      </c>
      <c r="H176">
        <v>18658834</v>
      </c>
      <c r="I176">
        <v>19125676</v>
      </c>
      <c r="J176">
        <v>18201166</v>
      </c>
      <c r="K176">
        <v>24.1533554984731</v>
      </c>
      <c r="L176">
        <v>24.189007405199099</v>
      </c>
      <c r="M176">
        <v>24.1175275392802</v>
      </c>
      <c r="N176">
        <v>7637390.4000000004</v>
      </c>
      <c r="O176">
        <v>7432548.5</v>
      </c>
      <c r="P176">
        <v>7969765.5</v>
      </c>
    </row>
    <row r="177" spans="1:16">
      <c r="A177">
        <v>63907.92</v>
      </c>
      <c r="B177">
        <v>29</v>
      </c>
      <c r="C177" t="s">
        <v>366</v>
      </c>
      <c r="D177" t="s">
        <v>367</v>
      </c>
      <c r="E177">
        <v>26</v>
      </c>
      <c r="F177">
        <v>29</v>
      </c>
      <c r="G177">
        <v>27</v>
      </c>
      <c r="H177">
        <v>7464596</v>
      </c>
      <c r="I177">
        <v>8249696</v>
      </c>
      <c r="J177">
        <v>7341182</v>
      </c>
      <c r="K177">
        <v>22.831632750036398</v>
      </c>
      <c r="L177">
        <v>22.9759095265767</v>
      </c>
      <c r="M177">
        <v>22.807580938693601</v>
      </c>
      <c r="N177">
        <v>1425508.6</v>
      </c>
      <c r="O177">
        <v>1552733.1</v>
      </c>
      <c r="P177">
        <v>1445951.6</v>
      </c>
    </row>
    <row r="178" spans="1:16">
      <c r="A178">
        <v>29177.74</v>
      </c>
      <c r="B178">
        <v>12</v>
      </c>
      <c r="C178" t="s">
        <v>368</v>
      </c>
      <c r="D178" t="s">
        <v>369</v>
      </c>
      <c r="E178">
        <v>11</v>
      </c>
      <c r="F178">
        <v>11</v>
      </c>
      <c r="G178">
        <v>12</v>
      </c>
      <c r="H178">
        <v>3418843.5</v>
      </c>
      <c r="I178">
        <v>3252806</v>
      </c>
      <c r="J178">
        <v>3615318.5</v>
      </c>
      <c r="K178">
        <v>21.705076953212298</v>
      </c>
      <c r="L178">
        <v>21.633253350761301</v>
      </c>
      <c r="M178">
        <v>21.7856913197176</v>
      </c>
      <c r="N178">
        <v>1499368.8</v>
      </c>
      <c r="O178">
        <v>1435184.7</v>
      </c>
      <c r="P178">
        <v>1674702.3</v>
      </c>
    </row>
    <row r="179" spans="1:16">
      <c r="A179">
        <v>13721.87</v>
      </c>
      <c r="B179">
        <v>6</v>
      </c>
      <c r="C179" t="s">
        <v>370</v>
      </c>
      <c r="D179" t="s">
        <v>371</v>
      </c>
      <c r="E179">
        <v>6</v>
      </c>
      <c r="F179">
        <v>6</v>
      </c>
      <c r="G179">
        <v>6</v>
      </c>
      <c r="H179">
        <v>862158.3125</v>
      </c>
      <c r="I179">
        <v>687435.4375</v>
      </c>
      <c r="J179">
        <v>733341.25</v>
      </c>
      <c r="K179">
        <v>19.717593280744001</v>
      </c>
      <c r="L179">
        <v>19.390864699419801</v>
      </c>
      <c r="M179">
        <v>19.484125166817599</v>
      </c>
      <c r="N179">
        <v>810285.7</v>
      </c>
      <c r="O179">
        <v>564758.30000000005</v>
      </c>
      <c r="P179">
        <v>668064.4</v>
      </c>
    </row>
    <row r="180" spans="1:16">
      <c r="A180">
        <v>48381.57</v>
      </c>
      <c r="B180">
        <v>26</v>
      </c>
      <c r="C180" t="s">
        <v>372</v>
      </c>
      <c r="D180" t="s">
        <v>373</v>
      </c>
      <c r="E180">
        <v>25</v>
      </c>
      <c r="F180">
        <v>26</v>
      </c>
      <c r="G180">
        <v>24</v>
      </c>
      <c r="H180">
        <v>20432290</v>
      </c>
      <c r="I180">
        <v>19367114</v>
      </c>
      <c r="J180">
        <v>19577292</v>
      </c>
      <c r="K180">
        <v>24.284347570999099</v>
      </c>
      <c r="L180">
        <v>24.207105650259301</v>
      </c>
      <c r="M180">
        <v>24.222677884292999</v>
      </c>
      <c r="N180">
        <v>8698793.5</v>
      </c>
      <c r="O180">
        <v>8172172.0999999996</v>
      </c>
      <c r="P180">
        <v>8825782.5999999996</v>
      </c>
    </row>
    <row r="181" spans="1:16">
      <c r="A181">
        <v>27741.05</v>
      </c>
      <c r="B181">
        <v>14</v>
      </c>
      <c r="C181" t="s">
        <v>374</v>
      </c>
      <c r="D181" t="s">
        <v>375</v>
      </c>
      <c r="E181">
        <v>13</v>
      </c>
      <c r="F181">
        <v>14</v>
      </c>
      <c r="G181">
        <v>14</v>
      </c>
      <c r="H181">
        <v>7310157</v>
      </c>
      <c r="I181">
        <v>7380033.5</v>
      </c>
      <c r="J181">
        <v>7266013</v>
      </c>
      <c r="K181">
        <v>22.801470960548201</v>
      </c>
      <c r="L181">
        <v>22.8151959344139</v>
      </c>
      <c r="M181">
        <v>22.7927325162802</v>
      </c>
      <c r="N181">
        <v>5407317.2000000002</v>
      </c>
      <c r="O181">
        <v>4610649.3</v>
      </c>
      <c r="P181">
        <v>5177544.7</v>
      </c>
    </row>
    <row r="182" spans="1:16">
      <c r="A182">
        <v>10757.73</v>
      </c>
      <c r="B182">
        <v>2</v>
      </c>
      <c r="C182" t="s">
        <v>376</v>
      </c>
      <c r="D182" t="s">
        <v>377</v>
      </c>
      <c r="E182">
        <v>1</v>
      </c>
      <c r="F182">
        <v>2</v>
      </c>
      <c r="G182">
        <v>1</v>
      </c>
      <c r="H182">
        <v>42490.4921875</v>
      </c>
      <c r="I182">
        <v>26782.21484375</v>
      </c>
      <c r="J182">
        <v>46860.125</v>
      </c>
      <c r="K182">
        <v>15.3748524347175</v>
      </c>
      <c r="L182">
        <v>14.7089876535785</v>
      </c>
      <c r="M182">
        <v>15.5160731821636</v>
      </c>
      <c r="N182">
        <v>14163.5</v>
      </c>
      <c r="O182">
        <v>25121</v>
      </c>
      <c r="P182">
        <v>15620</v>
      </c>
    </row>
    <row r="183" spans="1:16">
      <c r="A183">
        <v>43541.18</v>
      </c>
      <c r="B183">
        <v>21</v>
      </c>
      <c r="C183" t="s">
        <v>378</v>
      </c>
      <c r="D183" t="s">
        <v>379</v>
      </c>
      <c r="E183">
        <v>19</v>
      </c>
      <c r="F183">
        <v>20</v>
      </c>
      <c r="G183">
        <v>19</v>
      </c>
      <c r="H183">
        <v>3698377.25</v>
      </c>
      <c r="I183">
        <v>4089307.25</v>
      </c>
      <c r="J183">
        <v>3682278.5</v>
      </c>
      <c r="K183">
        <v>21.818460962520799</v>
      </c>
      <c r="L183">
        <v>21.9634250331173</v>
      </c>
      <c r="M183">
        <v>21.812167314799101</v>
      </c>
      <c r="N183">
        <v>1552019.8</v>
      </c>
      <c r="O183">
        <v>1621378.7</v>
      </c>
      <c r="P183">
        <v>1598787</v>
      </c>
    </row>
    <row r="184" spans="1:16">
      <c r="A184">
        <v>25285.42</v>
      </c>
      <c r="B184">
        <v>11</v>
      </c>
      <c r="C184" t="s">
        <v>380</v>
      </c>
      <c r="D184" t="s">
        <v>381</v>
      </c>
      <c r="E184">
        <v>11</v>
      </c>
      <c r="F184">
        <v>11</v>
      </c>
      <c r="G184">
        <v>11</v>
      </c>
      <c r="H184">
        <v>792157.9375</v>
      </c>
      <c r="I184">
        <v>729788.625</v>
      </c>
      <c r="J184">
        <v>754060</v>
      </c>
      <c r="K184">
        <v>19.595428572585099</v>
      </c>
      <c r="L184">
        <v>19.4771191386724</v>
      </c>
      <c r="M184">
        <v>19.5243197966821</v>
      </c>
      <c r="N184">
        <v>414871.1</v>
      </c>
      <c r="O184">
        <v>410704.4</v>
      </c>
      <c r="P184">
        <v>385430.9</v>
      </c>
    </row>
    <row r="185" spans="1:16">
      <c r="A185">
        <v>25312.799999999999</v>
      </c>
      <c r="B185">
        <v>7</v>
      </c>
      <c r="C185" t="s">
        <v>382</v>
      </c>
      <c r="D185" t="s">
        <v>383</v>
      </c>
      <c r="E185">
        <v>7</v>
      </c>
      <c r="F185">
        <v>7</v>
      </c>
      <c r="G185">
        <v>7</v>
      </c>
      <c r="H185">
        <v>4465462</v>
      </c>
      <c r="I185">
        <v>4292549.5</v>
      </c>
      <c r="J185">
        <v>3847612.75</v>
      </c>
      <c r="K185">
        <v>22.090378014688099</v>
      </c>
      <c r="L185">
        <v>22.033403340241801</v>
      </c>
      <c r="M185">
        <v>21.875532173065999</v>
      </c>
      <c r="N185">
        <v>1295445.2</v>
      </c>
      <c r="O185">
        <v>1457536.7</v>
      </c>
      <c r="P185">
        <v>1226418.2</v>
      </c>
    </row>
    <row r="186" spans="1:16">
      <c r="A186">
        <v>43242.38</v>
      </c>
      <c r="B186">
        <v>14</v>
      </c>
      <c r="C186" t="s">
        <v>384</v>
      </c>
      <c r="D186" t="s">
        <v>385</v>
      </c>
      <c r="E186">
        <v>14</v>
      </c>
      <c r="F186">
        <v>14</v>
      </c>
      <c r="G186">
        <v>14</v>
      </c>
      <c r="H186">
        <v>5760766.5</v>
      </c>
      <c r="I186">
        <v>5927026.5</v>
      </c>
      <c r="J186">
        <v>4708285.5</v>
      </c>
      <c r="K186">
        <v>22.457829351855899</v>
      </c>
      <c r="L186">
        <v>22.498877077197999</v>
      </c>
      <c r="M186">
        <v>22.1667703741835</v>
      </c>
      <c r="N186">
        <v>1575582.7</v>
      </c>
      <c r="O186">
        <v>1441974.8</v>
      </c>
      <c r="P186">
        <v>1499596.7</v>
      </c>
    </row>
    <row r="187" spans="1:16">
      <c r="A187">
        <v>24220.37</v>
      </c>
      <c r="B187">
        <v>8</v>
      </c>
      <c r="C187" t="s">
        <v>386</v>
      </c>
      <c r="D187" t="s">
        <v>387</v>
      </c>
      <c r="E187">
        <v>7</v>
      </c>
      <c r="F187">
        <v>8</v>
      </c>
      <c r="G187">
        <v>7</v>
      </c>
      <c r="H187">
        <v>37504412</v>
      </c>
      <c r="I187">
        <v>39076436</v>
      </c>
      <c r="J187">
        <v>32114826</v>
      </c>
      <c r="K187">
        <v>25.160556987716198</v>
      </c>
      <c r="L187">
        <v>25.219795555274199</v>
      </c>
      <c r="M187">
        <v>24.9367361440714</v>
      </c>
      <c r="N187">
        <v>18803682</v>
      </c>
      <c r="O187">
        <v>19482430.699999999</v>
      </c>
      <c r="P187">
        <v>16468528.5</v>
      </c>
    </row>
    <row r="188" spans="1:16">
      <c r="A188">
        <v>85235.9</v>
      </c>
      <c r="B188">
        <v>42</v>
      </c>
      <c r="C188" t="s">
        <v>388</v>
      </c>
      <c r="D188" t="s">
        <v>389</v>
      </c>
      <c r="E188">
        <v>39</v>
      </c>
      <c r="F188">
        <v>41</v>
      </c>
      <c r="G188">
        <v>41</v>
      </c>
      <c r="H188">
        <v>8355176</v>
      </c>
      <c r="I188">
        <v>9503044</v>
      </c>
      <c r="J188">
        <v>7997547.5</v>
      </c>
      <c r="K188">
        <v>22.994238787993901</v>
      </c>
      <c r="L188">
        <v>23.1799582785867</v>
      </c>
      <c r="M188">
        <v>22.931126225319101</v>
      </c>
      <c r="N188">
        <v>2424929.2000000002</v>
      </c>
      <c r="O188">
        <v>2460273.2999999998</v>
      </c>
      <c r="P188">
        <v>2434992.1</v>
      </c>
    </row>
    <row r="189" spans="1:16">
      <c r="A189">
        <v>35953.99</v>
      </c>
      <c r="B189">
        <v>20</v>
      </c>
      <c r="C189" t="s">
        <v>390</v>
      </c>
      <c r="D189" t="s">
        <v>391</v>
      </c>
      <c r="E189">
        <v>20</v>
      </c>
      <c r="F189">
        <v>20</v>
      </c>
      <c r="G189">
        <v>19</v>
      </c>
      <c r="H189">
        <v>6125612.5</v>
      </c>
      <c r="I189">
        <v>5810138</v>
      </c>
      <c r="J189">
        <v>5958033.5</v>
      </c>
      <c r="K189">
        <v>22.546422675730401</v>
      </c>
      <c r="L189">
        <v>22.470140999658099</v>
      </c>
      <c r="M189">
        <v>22.506404804718901</v>
      </c>
      <c r="N189">
        <v>2869019.4</v>
      </c>
      <c r="O189">
        <v>2945610.5</v>
      </c>
      <c r="P189">
        <v>2929833.4</v>
      </c>
    </row>
    <row r="190" spans="1:16">
      <c r="A190">
        <v>20474.48</v>
      </c>
      <c r="B190">
        <v>9</v>
      </c>
      <c r="C190" t="s">
        <v>392</v>
      </c>
      <c r="D190" t="s">
        <v>393</v>
      </c>
      <c r="E190">
        <v>8</v>
      </c>
      <c r="F190">
        <v>9</v>
      </c>
      <c r="G190">
        <v>8</v>
      </c>
      <c r="H190">
        <v>34592056</v>
      </c>
      <c r="I190">
        <v>24160060</v>
      </c>
      <c r="J190">
        <v>30738342</v>
      </c>
      <c r="K190">
        <v>25.043937427932601</v>
      </c>
      <c r="L190">
        <v>24.526120701722</v>
      </c>
      <c r="M190">
        <v>24.8735360135965</v>
      </c>
      <c r="N190">
        <v>14530920.199999999</v>
      </c>
      <c r="O190">
        <v>12318562.1</v>
      </c>
      <c r="P190">
        <v>13985557.199999999</v>
      </c>
    </row>
    <row r="191" spans="1:16">
      <c r="A191">
        <v>11460.35</v>
      </c>
      <c r="B191">
        <v>6</v>
      </c>
      <c r="C191" t="s">
        <v>394</v>
      </c>
      <c r="D191" t="s">
        <v>395</v>
      </c>
      <c r="E191">
        <v>6</v>
      </c>
      <c r="F191">
        <v>6</v>
      </c>
      <c r="G191">
        <v>6</v>
      </c>
      <c r="H191">
        <v>24122136</v>
      </c>
      <c r="I191">
        <v>25158672</v>
      </c>
      <c r="J191">
        <v>25714358</v>
      </c>
      <c r="K191">
        <v>24.523854326846099</v>
      </c>
      <c r="L191">
        <v>24.584552435809499</v>
      </c>
      <c r="M191">
        <v>24.6160707991666</v>
      </c>
      <c r="N191">
        <v>17563914.5</v>
      </c>
      <c r="O191">
        <v>19520871.5</v>
      </c>
      <c r="P191">
        <v>17680776.800000001</v>
      </c>
    </row>
    <row r="192" spans="1:16">
      <c r="A192">
        <v>89190.38</v>
      </c>
      <c r="B192">
        <v>69</v>
      </c>
      <c r="C192" t="s">
        <v>396</v>
      </c>
      <c r="D192" t="s">
        <v>397</v>
      </c>
      <c r="E192">
        <v>65</v>
      </c>
      <c r="F192">
        <v>68</v>
      </c>
      <c r="G192">
        <v>63</v>
      </c>
      <c r="H192">
        <v>152929360</v>
      </c>
      <c r="I192">
        <v>149689200</v>
      </c>
      <c r="J192">
        <v>149366624</v>
      </c>
      <c r="K192">
        <v>27.188290166845</v>
      </c>
      <c r="L192">
        <v>27.157394894533201</v>
      </c>
      <c r="M192">
        <v>27.154282572761499</v>
      </c>
      <c r="N192">
        <v>54859324.899999999</v>
      </c>
      <c r="O192">
        <v>50922146.5</v>
      </c>
      <c r="P192">
        <v>54890583.200000003</v>
      </c>
    </row>
    <row r="193" spans="1:16">
      <c r="A193">
        <v>95375.11</v>
      </c>
      <c r="B193">
        <v>44</v>
      </c>
      <c r="C193" t="s">
        <v>398</v>
      </c>
      <c r="D193" t="s">
        <v>399</v>
      </c>
      <c r="E193">
        <v>42</v>
      </c>
      <c r="F193">
        <v>44</v>
      </c>
      <c r="G193">
        <v>41</v>
      </c>
      <c r="H193">
        <v>8008595.5</v>
      </c>
      <c r="I193">
        <v>7927254.5</v>
      </c>
      <c r="J193">
        <v>8357815</v>
      </c>
      <c r="K193">
        <v>22.933117822838</v>
      </c>
      <c r="L193">
        <v>22.918389863366698</v>
      </c>
      <c r="M193">
        <v>22.994694394323702</v>
      </c>
      <c r="N193">
        <v>2541565.2999999998</v>
      </c>
      <c r="O193">
        <v>2524793.6</v>
      </c>
      <c r="P193">
        <v>2622183.9</v>
      </c>
    </row>
    <row r="194" spans="1:16">
      <c r="A194">
        <v>200845.96</v>
      </c>
      <c r="B194">
        <v>82</v>
      </c>
      <c r="C194" t="s">
        <v>400</v>
      </c>
      <c r="D194" t="s">
        <v>401</v>
      </c>
      <c r="E194">
        <v>81</v>
      </c>
      <c r="F194">
        <v>82</v>
      </c>
      <c r="G194">
        <v>82</v>
      </c>
      <c r="H194">
        <v>5042600</v>
      </c>
      <c r="I194">
        <v>5261719.5</v>
      </c>
      <c r="J194">
        <v>5038620</v>
      </c>
      <c r="K194">
        <v>22.265736358588502</v>
      </c>
      <c r="L194">
        <v>22.327102910426699</v>
      </c>
      <c r="M194">
        <v>22.264597225316699</v>
      </c>
      <c r="N194">
        <v>1767744.6</v>
      </c>
      <c r="O194">
        <v>1856253.8</v>
      </c>
      <c r="P194">
        <v>1794853.4</v>
      </c>
    </row>
    <row r="195" spans="1:16">
      <c r="A195">
        <v>20221.53</v>
      </c>
      <c r="B195">
        <v>7</v>
      </c>
      <c r="C195" t="s">
        <v>402</v>
      </c>
      <c r="D195" t="s">
        <v>403</v>
      </c>
      <c r="E195">
        <v>7</v>
      </c>
      <c r="F195">
        <v>7</v>
      </c>
      <c r="G195">
        <v>7</v>
      </c>
      <c r="H195">
        <v>2204276.5</v>
      </c>
      <c r="I195">
        <v>1237864.5</v>
      </c>
      <c r="J195">
        <v>2087594.125</v>
      </c>
      <c r="K195">
        <v>21.071873773341601</v>
      </c>
      <c r="L195">
        <v>20.2394219712133</v>
      </c>
      <c r="M195">
        <v>20.993409816304499</v>
      </c>
      <c r="N195">
        <v>1782162.3</v>
      </c>
      <c r="O195">
        <v>855269.2</v>
      </c>
      <c r="P195">
        <v>1696703.3</v>
      </c>
    </row>
    <row r="196" spans="1:16">
      <c r="A196">
        <v>73896.649999999994</v>
      </c>
      <c r="B196">
        <v>4</v>
      </c>
      <c r="C196" t="s">
        <v>404</v>
      </c>
      <c r="D196" t="s">
        <v>405</v>
      </c>
      <c r="E196">
        <v>4</v>
      </c>
      <c r="F196">
        <v>4</v>
      </c>
      <c r="G196">
        <v>4</v>
      </c>
      <c r="H196">
        <v>170085.0625</v>
      </c>
      <c r="I196">
        <v>165357.234375</v>
      </c>
      <c r="J196">
        <v>157944.953125</v>
      </c>
      <c r="K196">
        <v>17.3758969181808</v>
      </c>
      <c r="L196">
        <v>17.335226639219599</v>
      </c>
      <c r="M196">
        <v>17.269062313276098</v>
      </c>
      <c r="N196">
        <v>15900.9</v>
      </c>
      <c r="O196">
        <v>16944</v>
      </c>
      <c r="P196">
        <v>16147.6</v>
      </c>
    </row>
    <row r="197" spans="1:16">
      <c r="A197">
        <v>19716.27</v>
      </c>
      <c r="B197">
        <v>7</v>
      </c>
      <c r="C197" t="s">
        <v>406</v>
      </c>
      <c r="D197" t="s">
        <v>407</v>
      </c>
      <c r="E197">
        <v>7</v>
      </c>
      <c r="F197">
        <v>7</v>
      </c>
      <c r="G197">
        <v>7</v>
      </c>
      <c r="H197">
        <v>3269701</v>
      </c>
      <c r="I197">
        <v>3219306.25</v>
      </c>
      <c r="J197">
        <v>3072946</v>
      </c>
      <c r="K197">
        <v>21.640727282863999</v>
      </c>
      <c r="L197">
        <v>21.6183183950805</v>
      </c>
      <c r="M197">
        <v>21.551190984411001</v>
      </c>
      <c r="N197">
        <v>2110997.6</v>
      </c>
      <c r="O197">
        <v>2215236.2000000002</v>
      </c>
      <c r="P197">
        <v>2178439.9</v>
      </c>
    </row>
    <row r="198" spans="1:16">
      <c r="A198">
        <v>34504.82</v>
      </c>
      <c r="B198">
        <v>13</v>
      </c>
      <c r="C198" t="s">
        <v>408</v>
      </c>
      <c r="D198" t="s">
        <v>409</v>
      </c>
      <c r="E198">
        <v>12</v>
      </c>
      <c r="F198">
        <v>13</v>
      </c>
      <c r="G198">
        <v>13</v>
      </c>
      <c r="H198">
        <v>9634983</v>
      </c>
      <c r="I198">
        <v>11087980</v>
      </c>
      <c r="J198">
        <v>10187848</v>
      </c>
      <c r="K198">
        <v>23.1998506903508</v>
      </c>
      <c r="L198">
        <v>23.402493224533099</v>
      </c>
      <c r="M198">
        <v>23.280346004468001</v>
      </c>
      <c r="N198">
        <v>3492894.7</v>
      </c>
      <c r="O198">
        <v>4098021.6</v>
      </c>
      <c r="P198">
        <v>4092368.1</v>
      </c>
    </row>
    <row r="199" spans="1:16">
      <c r="A199">
        <v>28886.63</v>
      </c>
      <c r="B199">
        <v>6</v>
      </c>
      <c r="C199" t="s">
        <v>410</v>
      </c>
      <c r="D199" t="s">
        <v>411</v>
      </c>
      <c r="E199">
        <v>6</v>
      </c>
      <c r="F199">
        <v>6</v>
      </c>
      <c r="G199">
        <v>5</v>
      </c>
      <c r="H199">
        <v>1285385.5</v>
      </c>
      <c r="I199">
        <v>1147261.125</v>
      </c>
      <c r="J199">
        <v>1277303.25</v>
      </c>
      <c r="K199">
        <v>20.293769672347299</v>
      </c>
      <c r="L199">
        <v>20.1297623659671</v>
      </c>
      <c r="M199">
        <v>20.284669651399199</v>
      </c>
      <c r="N199">
        <v>463591.3</v>
      </c>
      <c r="O199">
        <v>439577.59999999998</v>
      </c>
      <c r="P199">
        <v>470939.7</v>
      </c>
    </row>
    <row r="200" spans="1:16">
      <c r="A200">
        <v>53408.99</v>
      </c>
      <c r="B200">
        <v>25</v>
      </c>
      <c r="C200" t="s">
        <v>412</v>
      </c>
      <c r="D200" t="s">
        <v>413</v>
      </c>
      <c r="E200">
        <v>24</v>
      </c>
      <c r="F200">
        <v>25</v>
      </c>
      <c r="G200">
        <v>23</v>
      </c>
      <c r="H200">
        <v>15598103</v>
      </c>
      <c r="I200">
        <v>15868460</v>
      </c>
      <c r="J200">
        <v>14277036</v>
      </c>
      <c r="K200">
        <v>23.894867247215299</v>
      </c>
      <c r="L200">
        <v>23.9196587887193</v>
      </c>
      <c r="M200">
        <v>23.767193162349699</v>
      </c>
      <c r="N200">
        <v>6606624.4000000004</v>
      </c>
      <c r="O200">
        <v>6207384.2000000002</v>
      </c>
      <c r="P200">
        <v>5968306.5</v>
      </c>
    </row>
    <row r="201" spans="1:16">
      <c r="A201">
        <v>70584.03</v>
      </c>
      <c r="B201">
        <v>39</v>
      </c>
      <c r="C201" t="s">
        <v>414</v>
      </c>
      <c r="D201" t="s">
        <v>415</v>
      </c>
      <c r="E201">
        <v>39</v>
      </c>
      <c r="F201">
        <v>39</v>
      </c>
      <c r="G201">
        <v>39</v>
      </c>
      <c r="H201">
        <v>11111275</v>
      </c>
      <c r="I201">
        <v>11217677</v>
      </c>
      <c r="J201">
        <v>10795039</v>
      </c>
      <c r="K201">
        <v>23.4055210372515</v>
      </c>
      <c r="L201">
        <v>23.419270612211299</v>
      </c>
      <c r="M201">
        <v>23.363865119707601</v>
      </c>
      <c r="N201">
        <v>1522094.4</v>
      </c>
      <c r="O201">
        <v>1507371.8</v>
      </c>
      <c r="P201">
        <v>1504171.6</v>
      </c>
    </row>
    <row r="202" spans="1:16">
      <c r="A202">
        <v>58280.47</v>
      </c>
      <c r="B202">
        <v>38</v>
      </c>
      <c r="C202" t="s">
        <v>416</v>
      </c>
      <c r="D202" t="s">
        <v>417</v>
      </c>
      <c r="E202">
        <v>37</v>
      </c>
      <c r="F202">
        <v>38</v>
      </c>
      <c r="G202">
        <v>36</v>
      </c>
      <c r="H202">
        <v>56770788</v>
      </c>
      <c r="I202">
        <v>58475820</v>
      </c>
      <c r="J202">
        <v>59936816</v>
      </c>
      <c r="K202">
        <v>25.758645431115799</v>
      </c>
      <c r="L202">
        <v>25.8013368516851</v>
      </c>
      <c r="M202">
        <v>25.836939110374999</v>
      </c>
      <c r="N202">
        <v>19245013.300000001</v>
      </c>
      <c r="O202">
        <v>19747788.899999999</v>
      </c>
      <c r="P202">
        <v>20694904.399999999</v>
      </c>
    </row>
    <row r="203" spans="1:16">
      <c r="A203">
        <v>26405.34</v>
      </c>
      <c r="B203">
        <v>8</v>
      </c>
      <c r="C203" t="s">
        <v>418</v>
      </c>
      <c r="D203" t="s">
        <v>419</v>
      </c>
      <c r="E203">
        <v>8</v>
      </c>
      <c r="F203">
        <v>8</v>
      </c>
      <c r="G203">
        <v>7</v>
      </c>
      <c r="H203">
        <v>1909445</v>
      </c>
      <c r="I203">
        <v>1963152.5</v>
      </c>
      <c r="J203">
        <v>1796867.125</v>
      </c>
      <c r="K203">
        <v>20.864721934233501</v>
      </c>
      <c r="L203">
        <v>20.904740816732499</v>
      </c>
      <c r="M203">
        <v>20.777052297486801</v>
      </c>
      <c r="N203">
        <v>692651.3</v>
      </c>
      <c r="O203">
        <v>745796.6</v>
      </c>
      <c r="P203">
        <v>740416.7</v>
      </c>
    </row>
    <row r="204" spans="1:16">
      <c r="A204">
        <v>30393.27</v>
      </c>
      <c r="B204">
        <v>11</v>
      </c>
      <c r="C204" t="s">
        <v>420</v>
      </c>
      <c r="D204" t="s">
        <v>421</v>
      </c>
      <c r="E204">
        <v>11</v>
      </c>
      <c r="F204">
        <v>11</v>
      </c>
      <c r="G204">
        <v>11</v>
      </c>
      <c r="H204">
        <v>10584501</v>
      </c>
      <c r="I204">
        <v>9588011</v>
      </c>
      <c r="J204">
        <v>9027452</v>
      </c>
      <c r="K204">
        <v>23.335449920161199</v>
      </c>
      <c r="L204">
        <v>23.192800133467198</v>
      </c>
      <c r="M204">
        <v>23.105887413543101</v>
      </c>
      <c r="N204">
        <v>2872875.8</v>
      </c>
      <c r="O204">
        <v>2853122.1</v>
      </c>
      <c r="P204">
        <v>2979861.4</v>
      </c>
    </row>
    <row r="205" spans="1:16">
      <c r="A205">
        <v>52711.39</v>
      </c>
      <c r="B205">
        <v>27</v>
      </c>
      <c r="C205" t="s">
        <v>422</v>
      </c>
      <c r="D205" t="s">
        <v>423</v>
      </c>
      <c r="E205">
        <v>25</v>
      </c>
      <c r="F205">
        <v>27</v>
      </c>
      <c r="G205">
        <v>26</v>
      </c>
      <c r="H205">
        <v>38057792</v>
      </c>
      <c r="I205">
        <v>35755068</v>
      </c>
      <c r="J205">
        <v>35715172</v>
      </c>
      <c r="K205">
        <v>25.181688527372199</v>
      </c>
      <c r="L205">
        <v>25.091644411284701</v>
      </c>
      <c r="M205">
        <v>25.0900337334045</v>
      </c>
      <c r="N205">
        <v>6974496.0999999996</v>
      </c>
      <c r="O205">
        <v>7263872.0999999996</v>
      </c>
      <c r="P205">
        <v>7282736.0999999996</v>
      </c>
    </row>
    <row r="206" spans="1:16">
      <c r="A206">
        <v>58076.03</v>
      </c>
      <c r="B206">
        <v>19</v>
      </c>
      <c r="C206" t="s">
        <v>424</v>
      </c>
      <c r="D206" t="s">
        <v>425</v>
      </c>
      <c r="E206">
        <v>19</v>
      </c>
      <c r="F206">
        <v>19</v>
      </c>
      <c r="G206">
        <v>19</v>
      </c>
      <c r="H206">
        <v>5683877</v>
      </c>
      <c r="I206">
        <v>5199245.5</v>
      </c>
      <c r="J206">
        <v>5378449</v>
      </c>
      <c r="K206">
        <v>22.438443904093099</v>
      </c>
      <c r="L206">
        <v>22.309870847888298</v>
      </c>
      <c r="M206">
        <v>22.358758767642801</v>
      </c>
      <c r="N206">
        <v>1678930</v>
      </c>
      <c r="O206">
        <v>1635176.3</v>
      </c>
      <c r="P206">
        <v>1592738.4</v>
      </c>
    </row>
    <row r="207" spans="1:16">
      <c r="A207">
        <v>159059.75</v>
      </c>
      <c r="B207">
        <v>79</v>
      </c>
      <c r="C207" t="s">
        <v>426</v>
      </c>
      <c r="D207" t="s">
        <v>427</v>
      </c>
      <c r="E207">
        <v>76</v>
      </c>
      <c r="F207">
        <v>79</v>
      </c>
      <c r="G207">
        <v>77</v>
      </c>
      <c r="H207">
        <v>33360612</v>
      </c>
      <c r="I207">
        <v>33934604</v>
      </c>
      <c r="J207">
        <v>34335956</v>
      </c>
      <c r="K207">
        <v>24.991642419458898</v>
      </c>
      <c r="L207">
        <v>25.016253841898699</v>
      </c>
      <c r="M207">
        <v>25.033216796670199</v>
      </c>
      <c r="N207">
        <v>11165162.6</v>
      </c>
      <c r="O207">
        <v>11262635.300000001</v>
      </c>
      <c r="P207">
        <v>11594686.1</v>
      </c>
    </row>
    <row r="208" spans="1:16">
      <c r="A208">
        <v>19279.5</v>
      </c>
      <c r="B208">
        <v>11</v>
      </c>
      <c r="C208" t="s">
        <v>428</v>
      </c>
      <c r="D208" t="s">
        <v>429</v>
      </c>
      <c r="E208">
        <v>11</v>
      </c>
      <c r="F208">
        <v>11</v>
      </c>
      <c r="G208">
        <v>11</v>
      </c>
      <c r="H208">
        <v>56614752</v>
      </c>
      <c r="I208">
        <v>71537312</v>
      </c>
      <c r="J208">
        <v>67601480</v>
      </c>
      <c r="K208">
        <v>25.754674686601</v>
      </c>
      <c r="L208">
        <v>26.092192574589301</v>
      </c>
      <c r="M208">
        <v>26.0105514960043</v>
      </c>
      <c r="N208">
        <v>42154596</v>
      </c>
      <c r="O208">
        <v>44003457.100000001</v>
      </c>
      <c r="P208">
        <v>45189538.899999999</v>
      </c>
    </row>
    <row r="209" spans="1:16">
      <c r="A209">
        <v>87159.56</v>
      </c>
      <c r="B209">
        <v>56</v>
      </c>
      <c r="C209" t="s">
        <v>430</v>
      </c>
      <c r="D209" t="s">
        <v>431</v>
      </c>
      <c r="E209">
        <v>55</v>
      </c>
      <c r="F209">
        <v>56</v>
      </c>
      <c r="G209">
        <v>55</v>
      </c>
      <c r="H209">
        <v>22603828</v>
      </c>
      <c r="I209">
        <v>22253580</v>
      </c>
      <c r="J209">
        <v>21811496</v>
      </c>
      <c r="K209">
        <v>24.4300637806111</v>
      </c>
      <c r="L209">
        <v>24.407534109629001</v>
      </c>
      <c r="M209">
        <v>24.378585388695601</v>
      </c>
      <c r="N209">
        <v>7766808.5</v>
      </c>
      <c r="O209">
        <v>7305911.5999999996</v>
      </c>
      <c r="P209">
        <v>7637074.2000000002</v>
      </c>
    </row>
    <row r="210" spans="1:16">
      <c r="A210">
        <v>112792.13</v>
      </c>
      <c r="B210">
        <v>66</v>
      </c>
      <c r="C210" t="s">
        <v>432</v>
      </c>
      <c r="D210" t="s">
        <v>433</v>
      </c>
      <c r="E210">
        <v>64</v>
      </c>
      <c r="F210">
        <v>65</v>
      </c>
      <c r="G210">
        <v>61</v>
      </c>
      <c r="H210">
        <v>17342508</v>
      </c>
      <c r="I210">
        <v>17332510</v>
      </c>
      <c r="J210">
        <v>17823792</v>
      </c>
      <c r="K210">
        <v>24.047809214300599</v>
      </c>
      <c r="L210">
        <v>24.046977257102</v>
      </c>
      <c r="M210">
        <v>24.087300966144799</v>
      </c>
      <c r="N210">
        <v>4795546.7</v>
      </c>
      <c r="O210">
        <v>4617948.5</v>
      </c>
      <c r="P210">
        <v>5348843.4000000004</v>
      </c>
    </row>
    <row r="211" spans="1:16">
      <c r="A211">
        <v>15396.68</v>
      </c>
      <c r="B211">
        <v>5</v>
      </c>
      <c r="C211" t="s">
        <v>434</v>
      </c>
      <c r="D211" t="s">
        <v>435</v>
      </c>
      <c r="E211">
        <v>4</v>
      </c>
      <c r="F211">
        <v>4</v>
      </c>
      <c r="G211">
        <v>4</v>
      </c>
      <c r="H211">
        <v>200420.46875</v>
      </c>
      <c r="I211">
        <v>210963.640625</v>
      </c>
      <c r="J211">
        <v>208719.078125</v>
      </c>
      <c r="K211">
        <v>17.6126703315533</v>
      </c>
      <c r="L211">
        <v>17.686634847729099</v>
      </c>
      <c r="M211">
        <v>17.671202951591798</v>
      </c>
      <c r="N211">
        <v>69573.8</v>
      </c>
      <c r="O211">
        <v>69321.5</v>
      </c>
      <c r="P211">
        <v>71160.399999999994</v>
      </c>
    </row>
    <row r="212" spans="1:16">
      <c r="A212">
        <v>26900.55</v>
      </c>
      <c r="B212">
        <v>16</v>
      </c>
      <c r="C212" t="s">
        <v>436</v>
      </c>
      <c r="D212" t="s">
        <v>437</v>
      </c>
      <c r="E212">
        <v>15</v>
      </c>
      <c r="F212">
        <v>16</v>
      </c>
      <c r="G212">
        <v>16</v>
      </c>
      <c r="H212">
        <v>16182413</v>
      </c>
      <c r="I212">
        <v>16925040</v>
      </c>
      <c r="J212">
        <v>15952256</v>
      </c>
      <c r="K212">
        <v>23.9479234118789</v>
      </c>
      <c r="L212">
        <v>24.012655907626701</v>
      </c>
      <c r="M212">
        <v>23.927257131452901</v>
      </c>
      <c r="N212">
        <v>8873742.3000000007</v>
      </c>
      <c r="O212">
        <v>9709601.8000000007</v>
      </c>
      <c r="P212">
        <v>9139847.8000000007</v>
      </c>
    </row>
    <row r="213" spans="1:16">
      <c r="A213">
        <v>36775.64</v>
      </c>
      <c r="B213">
        <v>26</v>
      </c>
      <c r="C213" t="s">
        <v>438</v>
      </c>
      <c r="D213" t="s">
        <v>439</v>
      </c>
      <c r="E213">
        <v>24</v>
      </c>
      <c r="F213">
        <v>26</v>
      </c>
      <c r="G213">
        <v>23</v>
      </c>
      <c r="H213">
        <v>13567676</v>
      </c>
      <c r="I213">
        <v>14171878</v>
      </c>
      <c r="J213">
        <v>15204541</v>
      </c>
      <c r="K213">
        <v>23.693670287664599</v>
      </c>
      <c r="L213">
        <v>23.7565276152522</v>
      </c>
      <c r="M213">
        <v>23.857998928655199</v>
      </c>
      <c r="N213">
        <v>8236932.2999999998</v>
      </c>
      <c r="O213">
        <v>8511094.1999999993</v>
      </c>
      <c r="P213">
        <v>9194004.9000000004</v>
      </c>
    </row>
    <row r="214" spans="1:16">
      <c r="A214">
        <v>61329.71</v>
      </c>
      <c r="B214">
        <v>32</v>
      </c>
      <c r="C214" t="s">
        <v>440</v>
      </c>
      <c r="D214" t="s">
        <v>441</v>
      </c>
      <c r="E214">
        <v>30</v>
      </c>
      <c r="F214">
        <v>32</v>
      </c>
      <c r="G214">
        <v>31</v>
      </c>
      <c r="H214">
        <v>49374828</v>
      </c>
      <c r="I214">
        <v>50716588</v>
      </c>
      <c r="J214">
        <v>50130484</v>
      </c>
      <c r="K214">
        <v>25.5572723866877</v>
      </c>
      <c r="L214">
        <v>25.595954354462901</v>
      </c>
      <c r="M214">
        <v>25.579184827336899</v>
      </c>
      <c r="N214">
        <v>14374603.5</v>
      </c>
      <c r="O214">
        <v>14707591</v>
      </c>
      <c r="P214">
        <v>15040962.5</v>
      </c>
    </row>
    <row r="215" spans="1:16">
      <c r="A215">
        <v>11840.81</v>
      </c>
      <c r="B215">
        <v>6</v>
      </c>
      <c r="C215" t="s">
        <v>442</v>
      </c>
      <c r="D215" t="s">
        <v>443</v>
      </c>
      <c r="E215">
        <v>6</v>
      </c>
      <c r="F215">
        <v>6</v>
      </c>
      <c r="G215">
        <v>6</v>
      </c>
      <c r="H215">
        <v>7528699.5</v>
      </c>
      <c r="I215">
        <v>5918977</v>
      </c>
      <c r="J215">
        <v>6771912</v>
      </c>
      <c r="K215">
        <v>22.843969246048701</v>
      </c>
      <c r="L215">
        <v>22.4969164200837</v>
      </c>
      <c r="M215">
        <v>22.691131795069701</v>
      </c>
      <c r="N215">
        <v>5023572.5</v>
      </c>
      <c r="O215">
        <v>4126159.6</v>
      </c>
      <c r="P215">
        <v>4766505.4000000004</v>
      </c>
    </row>
    <row r="216" spans="1:16">
      <c r="A216">
        <v>7351.57</v>
      </c>
      <c r="B216">
        <v>6</v>
      </c>
      <c r="C216" t="s">
        <v>444</v>
      </c>
      <c r="D216" t="s">
        <v>445</v>
      </c>
      <c r="E216">
        <v>6</v>
      </c>
      <c r="F216">
        <v>6</v>
      </c>
      <c r="G216">
        <v>6</v>
      </c>
      <c r="H216">
        <v>19887854</v>
      </c>
      <c r="I216">
        <v>21965438</v>
      </c>
      <c r="J216">
        <v>26087246</v>
      </c>
      <c r="K216">
        <v>24.245384274692299</v>
      </c>
      <c r="L216">
        <v>24.388731931870101</v>
      </c>
      <c r="M216">
        <v>24.636841312780099</v>
      </c>
      <c r="N216">
        <v>36450646.299999997</v>
      </c>
      <c r="O216">
        <v>36509069.200000003</v>
      </c>
      <c r="P216">
        <v>39085961.399999999</v>
      </c>
    </row>
    <row r="217" spans="1:16">
      <c r="A217">
        <v>17663.04</v>
      </c>
      <c r="B217">
        <v>2</v>
      </c>
      <c r="C217" t="s">
        <v>446</v>
      </c>
      <c r="D217" t="s">
        <v>447</v>
      </c>
      <c r="E217">
        <v>2</v>
      </c>
      <c r="F217">
        <v>2</v>
      </c>
      <c r="G217">
        <v>2</v>
      </c>
      <c r="H217">
        <v>1202101.125</v>
      </c>
      <c r="I217">
        <v>1020573</v>
      </c>
      <c r="J217">
        <v>1111516.125</v>
      </c>
      <c r="K217">
        <v>20.197126835089801</v>
      </c>
      <c r="L217">
        <v>19.9609479491189</v>
      </c>
      <c r="M217">
        <v>20.0840974473236</v>
      </c>
      <c r="N217">
        <v>623842.6</v>
      </c>
      <c r="O217">
        <v>650613.4</v>
      </c>
      <c r="P217">
        <v>690938.8</v>
      </c>
    </row>
    <row r="218" spans="1:16">
      <c r="A218">
        <v>43650.559999999998</v>
      </c>
      <c r="B218">
        <v>23</v>
      </c>
      <c r="C218" t="s">
        <v>448</v>
      </c>
      <c r="D218" t="s">
        <v>449</v>
      </c>
      <c r="E218">
        <v>23</v>
      </c>
      <c r="F218">
        <v>23</v>
      </c>
      <c r="G218">
        <v>22</v>
      </c>
      <c r="H218">
        <v>3179505.75</v>
      </c>
      <c r="I218">
        <v>3375655.5</v>
      </c>
      <c r="J218">
        <v>3084060</v>
      </c>
      <c r="K218">
        <v>21.600371087210299</v>
      </c>
      <c r="L218">
        <v>21.6867362477171</v>
      </c>
      <c r="M218">
        <v>21.556399402300901</v>
      </c>
      <c r="N218">
        <v>1073771.1000000001</v>
      </c>
      <c r="O218">
        <v>1038996.8</v>
      </c>
      <c r="P218">
        <v>1048065.6</v>
      </c>
    </row>
    <row r="219" spans="1:16">
      <c r="A219">
        <v>78323.19</v>
      </c>
      <c r="B219">
        <v>16</v>
      </c>
      <c r="C219" t="s">
        <v>450</v>
      </c>
      <c r="D219" t="s">
        <v>451</v>
      </c>
      <c r="E219">
        <v>16</v>
      </c>
      <c r="F219">
        <v>16</v>
      </c>
      <c r="G219">
        <v>15</v>
      </c>
      <c r="H219">
        <v>4291847</v>
      </c>
      <c r="I219">
        <v>4036809.75</v>
      </c>
      <c r="J219">
        <v>4143215.75</v>
      </c>
      <c r="K219">
        <v>22.0331672157178</v>
      </c>
      <c r="L219">
        <v>21.944784165258401</v>
      </c>
      <c r="M219">
        <v>21.982319517169799</v>
      </c>
      <c r="N219">
        <v>939538.4</v>
      </c>
      <c r="O219">
        <v>870879.5</v>
      </c>
      <c r="P219">
        <v>894816.6</v>
      </c>
    </row>
    <row r="220" spans="1:16">
      <c r="A220">
        <v>30539.61</v>
      </c>
      <c r="B220">
        <v>21</v>
      </c>
      <c r="C220" t="s">
        <v>452</v>
      </c>
      <c r="D220" t="s">
        <v>453</v>
      </c>
      <c r="E220">
        <v>21</v>
      </c>
      <c r="F220">
        <v>21</v>
      </c>
      <c r="G220">
        <v>21</v>
      </c>
      <c r="H220">
        <v>14809844</v>
      </c>
      <c r="I220">
        <v>14674912</v>
      </c>
      <c r="J220">
        <v>15569745</v>
      </c>
      <c r="K220">
        <v>23.8200531082406</v>
      </c>
      <c r="L220">
        <v>23.806848516266101</v>
      </c>
      <c r="M220">
        <v>23.892241980481501</v>
      </c>
      <c r="N220">
        <v>7471246</v>
      </c>
      <c r="O220">
        <v>6886090.7000000002</v>
      </c>
      <c r="P220">
        <v>7673722</v>
      </c>
    </row>
    <row r="221" spans="1:16">
      <c r="A221">
        <v>26344.53</v>
      </c>
      <c r="B221">
        <v>12</v>
      </c>
      <c r="C221" t="s">
        <v>454</v>
      </c>
      <c r="D221" t="s">
        <v>455</v>
      </c>
      <c r="E221">
        <v>12</v>
      </c>
      <c r="F221">
        <v>12</v>
      </c>
      <c r="G221">
        <v>12</v>
      </c>
      <c r="H221">
        <v>14266814</v>
      </c>
      <c r="I221">
        <v>13070879</v>
      </c>
      <c r="J221">
        <v>13538140</v>
      </c>
      <c r="K221">
        <v>23.766159858899801</v>
      </c>
      <c r="L221">
        <v>23.639852828015101</v>
      </c>
      <c r="M221">
        <v>23.690526205406201</v>
      </c>
      <c r="N221">
        <v>10482646.1</v>
      </c>
      <c r="O221">
        <v>8932821.5</v>
      </c>
      <c r="P221">
        <v>10172075.800000001</v>
      </c>
    </row>
    <row r="222" spans="1:16">
      <c r="A222">
        <v>46799.87</v>
      </c>
      <c r="B222">
        <v>21</v>
      </c>
      <c r="C222" t="s">
        <v>456</v>
      </c>
      <c r="D222" t="s">
        <v>457</v>
      </c>
      <c r="E222">
        <v>21</v>
      </c>
      <c r="F222">
        <v>20</v>
      </c>
      <c r="G222">
        <v>21</v>
      </c>
      <c r="H222">
        <v>42571772</v>
      </c>
      <c r="I222">
        <v>40943520</v>
      </c>
      <c r="J222">
        <v>45041680</v>
      </c>
      <c r="K222">
        <v>25.343393806067201</v>
      </c>
      <c r="L222">
        <v>25.2871318034131</v>
      </c>
      <c r="M222">
        <v>25.424757303407301</v>
      </c>
      <c r="N222">
        <v>11998946.800000001</v>
      </c>
      <c r="O222">
        <v>11278227.800000001</v>
      </c>
      <c r="P222">
        <v>12299267.6</v>
      </c>
    </row>
    <row r="223" spans="1:16">
      <c r="A223">
        <v>13564.78</v>
      </c>
      <c r="B223">
        <v>6</v>
      </c>
      <c r="C223" t="s">
        <v>458</v>
      </c>
      <c r="D223" t="s">
        <v>459</v>
      </c>
      <c r="E223">
        <v>5</v>
      </c>
      <c r="F223">
        <v>6</v>
      </c>
      <c r="G223">
        <v>5</v>
      </c>
      <c r="H223">
        <v>4796318</v>
      </c>
      <c r="I223">
        <v>4691357</v>
      </c>
      <c r="J223">
        <v>6694604</v>
      </c>
      <c r="K223">
        <v>22.193495883166801</v>
      </c>
      <c r="L223">
        <v>22.161573859655402</v>
      </c>
      <c r="M223">
        <v>22.674567288931499</v>
      </c>
      <c r="N223">
        <v>3369628.4</v>
      </c>
      <c r="O223">
        <v>3145170.2</v>
      </c>
      <c r="P223">
        <v>4686527</v>
      </c>
    </row>
    <row r="224" spans="1:16">
      <c r="A224">
        <v>28633.07</v>
      </c>
      <c r="B224">
        <v>11</v>
      </c>
      <c r="C224" t="s">
        <v>460</v>
      </c>
      <c r="D224" t="s">
        <v>461</v>
      </c>
      <c r="E224">
        <v>11</v>
      </c>
      <c r="F224">
        <v>11</v>
      </c>
      <c r="G224">
        <v>11</v>
      </c>
      <c r="H224">
        <v>13317312</v>
      </c>
      <c r="I224">
        <v>15792289</v>
      </c>
      <c r="J224">
        <v>14834060</v>
      </c>
      <c r="K224">
        <v>23.666799578781902</v>
      </c>
      <c r="L224">
        <v>23.912716960780799</v>
      </c>
      <c r="M224">
        <v>23.822410173685199</v>
      </c>
      <c r="N224">
        <v>5584846.7999999998</v>
      </c>
      <c r="O224">
        <v>5877951.2999999998</v>
      </c>
      <c r="P224">
        <v>5098787.5999999996</v>
      </c>
    </row>
    <row r="225" spans="1:16">
      <c r="A225">
        <v>43240.29</v>
      </c>
      <c r="B225">
        <v>22</v>
      </c>
      <c r="C225" t="s">
        <v>462</v>
      </c>
      <c r="D225" t="s">
        <v>463</v>
      </c>
      <c r="E225">
        <v>21</v>
      </c>
      <c r="F225">
        <v>21</v>
      </c>
      <c r="G225">
        <v>22</v>
      </c>
      <c r="H225">
        <v>8089685</v>
      </c>
      <c r="I225">
        <v>8277116.5</v>
      </c>
      <c r="J225">
        <v>7939708</v>
      </c>
      <c r="K225">
        <v>22.947652096727801</v>
      </c>
      <c r="L225">
        <v>22.980696832739799</v>
      </c>
      <c r="M225">
        <v>22.9206545194256</v>
      </c>
      <c r="N225">
        <v>3852287</v>
      </c>
      <c r="O225">
        <v>4238191.7</v>
      </c>
      <c r="P225">
        <v>4331094.9000000004</v>
      </c>
    </row>
    <row r="226" spans="1:16">
      <c r="A226">
        <v>25639.38</v>
      </c>
      <c r="B226">
        <v>13</v>
      </c>
      <c r="C226" t="s">
        <v>464</v>
      </c>
      <c r="D226" t="s">
        <v>465</v>
      </c>
      <c r="E226">
        <v>13</v>
      </c>
      <c r="F226">
        <v>13</v>
      </c>
      <c r="G226">
        <v>13</v>
      </c>
      <c r="H226">
        <v>4486821.5</v>
      </c>
      <c r="I226">
        <v>4033983</v>
      </c>
      <c r="J226">
        <v>3552798.5</v>
      </c>
      <c r="K226">
        <v>22.097262359492301</v>
      </c>
      <c r="L226">
        <v>21.9437735734864</v>
      </c>
      <c r="M226">
        <v>21.7605244366326</v>
      </c>
      <c r="N226">
        <v>2735040.5</v>
      </c>
      <c r="O226">
        <v>2374593.4</v>
      </c>
      <c r="P226">
        <v>2356121.9</v>
      </c>
    </row>
    <row r="227" spans="1:16">
      <c r="A227">
        <v>49710.239999999998</v>
      </c>
      <c r="B227">
        <v>20</v>
      </c>
      <c r="C227" t="s">
        <v>466</v>
      </c>
      <c r="D227" t="s">
        <v>467</v>
      </c>
      <c r="E227">
        <v>19</v>
      </c>
      <c r="F227">
        <v>20</v>
      </c>
      <c r="G227">
        <v>19</v>
      </c>
      <c r="H227">
        <v>4135272.25</v>
      </c>
      <c r="I227">
        <v>3949224.25</v>
      </c>
      <c r="J227">
        <v>4132163</v>
      </c>
      <c r="K227">
        <v>21.9795508831935</v>
      </c>
      <c r="L227">
        <v>21.913137860439001</v>
      </c>
      <c r="M227">
        <v>21.978465734140201</v>
      </c>
      <c r="N227">
        <v>2202290.5</v>
      </c>
      <c r="O227">
        <v>1848372.1</v>
      </c>
      <c r="P227">
        <v>2021134.6</v>
      </c>
    </row>
    <row r="228" spans="1:16">
      <c r="A228">
        <v>35817.74</v>
      </c>
      <c r="B228">
        <v>17</v>
      </c>
      <c r="C228" t="s">
        <v>468</v>
      </c>
      <c r="D228" t="s">
        <v>469</v>
      </c>
      <c r="E228">
        <v>17</v>
      </c>
      <c r="F228">
        <v>17</v>
      </c>
      <c r="G228">
        <v>15</v>
      </c>
      <c r="H228">
        <v>2458348.25</v>
      </c>
      <c r="I228">
        <v>2407271</v>
      </c>
      <c r="J228">
        <v>2234455.25</v>
      </c>
      <c r="K228">
        <v>21.2292578719183</v>
      </c>
      <c r="L228">
        <v>21.1989671325526</v>
      </c>
      <c r="M228">
        <v>21.0914917211282</v>
      </c>
      <c r="N228">
        <v>728597.5</v>
      </c>
      <c r="O228">
        <v>780480.3</v>
      </c>
      <c r="P228">
        <v>624714.69999999995</v>
      </c>
    </row>
    <row r="229" spans="1:16">
      <c r="A229">
        <v>37465.35</v>
      </c>
      <c r="B229">
        <v>22</v>
      </c>
      <c r="C229" t="s">
        <v>470</v>
      </c>
      <c r="D229" t="s">
        <v>471</v>
      </c>
      <c r="E229">
        <v>21</v>
      </c>
      <c r="F229">
        <v>22</v>
      </c>
      <c r="G229">
        <v>21</v>
      </c>
      <c r="H229">
        <v>38700864</v>
      </c>
      <c r="I229">
        <v>47696004</v>
      </c>
      <c r="J229">
        <v>43743520</v>
      </c>
      <c r="K229">
        <v>25.2058624392272</v>
      </c>
      <c r="L229">
        <v>25.507365065644102</v>
      </c>
      <c r="M229">
        <v>25.382565981584602</v>
      </c>
      <c r="N229">
        <v>25547939.5</v>
      </c>
      <c r="O229">
        <v>25705232.899999999</v>
      </c>
      <c r="P229">
        <v>32876263.800000001</v>
      </c>
    </row>
    <row r="230" spans="1:16">
      <c r="A230">
        <v>15493.89</v>
      </c>
      <c r="B230">
        <v>7</v>
      </c>
      <c r="C230" t="s">
        <v>472</v>
      </c>
      <c r="D230" t="s">
        <v>473</v>
      </c>
      <c r="E230">
        <v>7</v>
      </c>
      <c r="F230">
        <v>7</v>
      </c>
      <c r="G230">
        <v>7</v>
      </c>
      <c r="H230">
        <v>17944712</v>
      </c>
      <c r="I230">
        <v>15114542</v>
      </c>
      <c r="J230">
        <v>19178048</v>
      </c>
      <c r="K230">
        <v>24.097055433311098</v>
      </c>
      <c r="L230">
        <v>23.8494339273756</v>
      </c>
      <c r="M230">
        <v>24.192952550154999</v>
      </c>
      <c r="N230">
        <v>11484928.5</v>
      </c>
      <c r="O230">
        <v>8701647.5999999996</v>
      </c>
      <c r="P230">
        <v>11564080.6</v>
      </c>
    </row>
    <row r="231" spans="1:16">
      <c r="A231">
        <v>80700.87</v>
      </c>
      <c r="B231">
        <v>62</v>
      </c>
      <c r="C231" t="s">
        <v>474</v>
      </c>
      <c r="D231" t="s">
        <v>475</v>
      </c>
      <c r="E231">
        <v>61</v>
      </c>
      <c r="F231">
        <v>62</v>
      </c>
      <c r="G231">
        <v>60</v>
      </c>
      <c r="H231">
        <v>54197816</v>
      </c>
      <c r="I231">
        <v>59119196</v>
      </c>
      <c r="J231">
        <v>57193920</v>
      </c>
      <c r="K231">
        <v>25.691731380929902</v>
      </c>
      <c r="L231">
        <v>25.817123313690502</v>
      </c>
      <c r="M231">
        <v>25.769358453661599</v>
      </c>
      <c r="N231">
        <v>33970363.799999997</v>
      </c>
      <c r="O231">
        <v>34377863.299999997</v>
      </c>
      <c r="P231">
        <v>35391304.5</v>
      </c>
    </row>
    <row r="232" spans="1:16">
      <c r="A232">
        <v>108426.4</v>
      </c>
      <c r="B232">
        <v>80</v>
      </c>
      <c r="C232" t="s">
        <v>476</v>
      </c>
      <c r="D232" t="s">
        <v>477</v>
      </c>
      <c r="E232">
        <v>77</v>
      </c>
      <c r="F232">
        <v>80</v>
      </c>
      <c r="G232">
        <v>77</v>
      </c>
      <c r="H232">
        <v>103224224</v>
      </c>
      <c r="I232">
        <v>109237496</v>
      </c>
      <c r="J232">
        <v>111203960</v>
      </c>
      <c r="K232">
        <v>26.621206332027501</v>
      </c>
      <c r="L232">
        <v>26.7028929084704</v>
      </c>
      <c r="M232">
        <v>26.728632922795502</v>
      </c>
      <c r="N232">
        <v>29849102.800000001</v>
      </c>
      <c r="O232">
        <v>30636956.199999999</v>
      </c>
      <c r="P232">
        <v>31244178.800000001</v>
      </c>
    </row>
    <row r="233" spans="1:16">
      <c r="A233">
        <v>46875.88</v>
      </c>
      <c r="B233">
        <v>21</v>
      </c>
      <c r="C233" t="s">
        <v>478</v>
      </c>
      <c r="D233" t="s">
        <v>479</v>
      </c>
      <c r="E233">
        <v>19</v>
      </c>
      <c r="F233">
        <v>21</v>
      </c>
      <c r="G233">
        <v>19</v>
      </c>
      <c r="H233">
        <v>4175224</v>
      </c>
      <c r="I233">
        <v>3737683.25</v>
      </c>
      <c r="J233">
        <v>3854288.25</v>
      </c>
      <c r="K233">
        <v>21.9934221693109</v>
      </c>
      <c r="L233">
        <v>21.833712882383399</v>
      </c>
      <c r="M233">
        <v>21.878033039581201</v>
      </c>
      <c r="N233">
        <v>1472410</v>
      </c>
      <c r="O233">
        <v>1342010.6000000001</v>
      </c>
      <c r="P233">
        <v>1375364.3</v>
      </c>
    </row>
    <row r="234" spans="1:16">
      <c r="A234">
        <v>16431.349999999999</v>
      </c>
      <c r="B234">
        <v>4</v>
      </c>
      <c r="C234" t="s">
        <v>480</v>
      </c>
      <c r="D234" t="s">
        <v>481</v>
      </c>
      <c r="E234">
        <v>4</v>
      </c>
      <c r="F234">
        <v>3</v>
      </c>
      <c r="G234">
        <v>4</v>
      </c>
      <c r="H234">
        <v>2490925</v>
      </c>
      <c r="I234">
        <v>2660300.25</v>
      </c>
      <c r="J234">
        <v>3002695.5</v>
      </c>
      <c r="K234">
        <v>21.248250153023701</v>
      </c>
      <c r="L234">
        <v>21.3431576514193</v>
      </c>
      <c r="M234">
        <v>21.5178267495426</v>
      </c>
      <c r="N234">
        <v>2116845</v>
      </c>
      <c r="O234">
        <v>2213588.4</v>
      </c>
      <c r="P234">
        <v>2454059.7999999998</v>
      </c>
    </row>
    <row r="235" spans="1:16">
      <c r="A235">
        <v>22092.69</v>
      </c>
      <c r="B235">
        <v>10</v>
      </c>
      <c r="C235" t="s">
        <v>482</v>
      </c>
      <c r="D235" t="s">
        <v>483</v>
      </c>
      <c r="E235">
        <v>10</v>
      </c>
      <c r="F235">
        <v>10</v>
      </c>
      <c r="G235">
        <v>10</v>
      </c>
      <c r="H235">
        <v>1773608</v>
      </c>
      <c r="I235">
        <v>1633072.75</v>
      </c>
      <c r="J235">
        <v>1902661.5</v>
      </c>
      <c r="K235">
        <v>20.7582557520474</v>
      </c>
      <c r="L235">
        <v>20.639157630723702</v>
      </c>
      <c r="M235">
        <v>20.8595874857916</v>
      </c>
      <c r="N235">
        <v>1305898.1000000001</v>
      </c>
      <c r="O235">
        <v>1280070.8</v>
      </c>
      <c r="P235">
        <v>1349902.5</v>
      </c>
    </row>
    <row r="236" spans="1:16">
      <c r="A236">
        <v>73771.3</v>
      </c>
      <c r="B236">
        <v>34</v>
      </c>
      <c r="C236" t="s">
        <v>484</v>
      </c>
      <c r="D236" t="s">
        <v>485</v>
      </c>
      <c r="E236">
        <v>31</v>
      </c>
      <c r="F236">
        <v>34</v>
      </c>
      <c r="G236">
        <v>31</v>
      </c>
      <c r="H236">
        <v>27095256</v>
      </c>
      <c r="I236">
        <v>24125046</v>
      </c>
      <c r="J236">
        <v>24898210</v>
      </c>
      <c r="K236">
        <v>24.691536942196699</v>
      </c>
      <c r="L236">
        <v>24.524028357427799</v>
      </c>
      <c r="M236">
        <v>24.569538690964698</v>
      </c>
      <c r="N236">
        <v>12930151.199999999</v>
      </c>
      <c r="O236">
        <v>12490962</v>
      </c>
      <c r="P236">
        <v>13105710.699999999</v>
      </c>
    </row>
    <row r="237" spans="1:16">
      <c r="A237">
        <v>48448.62</v>
      </c>
      <c r="B237">
        <v>22</v>
      </c>
      <c r="C237" t="s">
        <v>486</v>
      </c>
      <c r="D237" t="s">
        <v>487</v>
      </c>
      <c r="E237">
        <v>21</v>
      </c>
      <c r="F237">
        <v>22</v>
      </c>
      <c r="G237">
        <v>20</v>
      </c>
      <c r="H237">
        <v>29300580</v>
      </c>
      <c r="I237">
        <v>28369246</v>
      </c>
      <c r="J237">
        <v>29706680</v>
      </c>
      <c r="K237">
        <v>24.804425887044701</v>
      </c>
      <c r="L237">
        <v>24.7578244712737</v>
      </c>
      <c r="M237">
        <v>24.8242840436973</v>
      </c>
      <c r="N237">
        <v>11674808.300000001</v>
      </c>
      <c r="O237">
        <v>10428654.4</v>
      </c>
      <c r="P237">
        <v>12124039.1</v>
      </c>
    </row>
    <row r="238" spans="1:16">
      <c r="A238">
        <v>20086.650000000001</v>
      </c>
      <c r="B238">
        <v>6</v>
      </c>
      <c r="C238" t="s">
        <v>488</v>
      </c>
      <c r="D238" t="s">
        <v>489</v>
      </c>
      <c r="E238">
        <v>6</v>
      </c>
      <c r="F238">
        <v>6</v>
      </c>
      <c r="G238">
        <v>6</v>
      </c>
      <c r="H238">
        <v>3439203.75</v>
      </c>
      <c r="I238">
        <v>3225665.75</v>
      </c>
      <c r="J238">
        <v>3435090</v>
      </c>
      <c r="K238">
        <v>21.713643157828301</v>
      </c>
      <c r="L238">
        <v>21.621165520588601</v>
      </c>
      <c r="M238">
        <v>21.711916467742402</v>
      </c>
      <c r="N238">
        <v>2470849.1</v>
      </c>
      <c r="O238">
        <v>2405129.5</v>
      </c>
      <c r="P238">
        <v>2438630.7999999998</v>
      </c>
    </row>
    <row r="239" spans="1:16">
      <c r="A239">
        <v>28539.75</v>
      </c>
      <c r="B239">
        <v>9</v>
      </c>
      <c r="C239" t="s">
        <v>490</v>
      </c>
      <c r="D239" t="s">
        <v>491</v>
      </c>
      <c r="E239">
        <v>9</v>
      </c>
      <c r="F239">
        <v>9</v>
      </c>
      <c r="G239">
        <v>9</v>
      </c>
      <c r="H239">
        <v>12764574</v>
      </c>
      <c r="I239">
        <v>12744693</v>
      </c>
      <c r="J239">
        <v>12717653</v>
      </c>
      <c r="K239">
        <v>23.605642054808602</v>
      </c>
      <c r="L239">
        <v>23.603393285691499</v>
      </c>
      <c r="M239">
        <v>23.6003291148904</v>
      </c>
      <c r="N239">
        <v>6019031</v>
      </c>
      <c r="O239">
        <v>5758863.4000000004</v>
      </c>
      <c r="P239">
        <v>5758909.9000000004</v>
      </c>
    </row>
    <row r="240" spans="1:16">
      <c r="A240">
        <v>51909.05</v>
      </c>
      <c r="B240">
        <v>44</v>
      </c>
      <c r="C240" t="s">
        <v>492</v>
      </c>
      <c r="D240" t="s">
        <v>493</v>
      </c>
      <c r="E240">
        <v>42</v>
      </c>
      <c r="F240">
        <v>43</v>
      </c>
      <c r="G240">
        <v>42</v>
      </c>
      <c r="H240">
        <v>97226704</v>
      </c>
      <c r="I240">
        <v>96473384</v>
      </c>
      <c r="J240">
        <v>99132680</v>
      </c>
      <c r="K240">
        <v>26.534849278836798</v>
      </c>
      <c r="L240">
        <v>26.523627636979398</v>
      </c>
      <c r="M240">
        <v>26.562857397726301</v>
      </c>
      <c r="N240">
        <v>31071921.300000001</v>
      </c>
      <c r="O240">
        <v>30500741.300000001</v>
      </c>
      <c r="P240">
        <v>32306043.100000001</v>
      </c>
    </row>
    <row r="241" spans="1:16">
      <c r="A241">
        <v>72264.73</v>
      </c>
      <c r="B241">
        <v>39</v>
      </c>
      <c r="C241" t="s">
        <v>494</v>
      </c>
      <c r="D241" t="s">
        <v>495</v>
      </c>
      <c r="E241">
        <v>39</v>
      </c>
      <c r="F241">
        <v>39</v>
      </c>
      <c r="G241">
        <v>39</v>
      </c>
      <c r="H241">
        <v>14740592</v>
      </c>
      <c r="I241">
        <v>14467716</v>
      </c>
      <c r="J241">
        <v>13855775</v>
      </c>
      <c r="K241">
        <v>23.813291130185402</v>
      </c>
      <c r="L241">
        <v>23.786333847618302</v>
      </c>
      <c r="M241">
        <v>23.723984072063399</v>
      </c>
      <c r="N241">
        <v>4985048.5</v>
      </c>
      <c r="O241">
        <v>5058003.5999999996</v>
      </c>
      <c r="P241">
        <v>4910197.5</v>
      </c>
    </row>
    <row r="242" spans="1:16">
      <c r="A242">
        <v>102377.13</v>
      </c>
      <c r="B242">
        <v>56</v>
      </c>
      <c r="C242" t="s">
        <v>496</v>
      </c>
      <c r="D242" t="s">
        <v>497</v>
      </c>
      <c r="E242">
        <v>53</v>
      </c>
      <c r="F242">
        <v>56</v>
      </c>
      <c r="G242">
        <v>52</v>
      </c>
      <c r="H242">
        <v>10374692</v>
      </c>
      <c r="I242">
        <v>10318836</v>
      </c>
      <c r="J242">
        <v>10729452</v>
      </c>
      <c r="K242">
        <v>23.306565171112702</v>
      </c>
      <c r="L242">
        <v>23.298776903215</v>
      </c>
      <c r="M242">
        <v>23.355073057447399</v>
      </c>
      <c r="N242">
        <v>6880690.4000000004</v>
      </c>
      <c r="O242">
        <v>6821738</v>
      </c>
      <c r="P242">
        <v>7021085.7999999998</v>
      </c>
    </row>
    <row r="243" spans="1:16">
      <c r="A243">
        <v>34573.620000000003</v>
      </c>
      <c r="B243">
        <v>39</v>
      </c>
      <c r="C243" t="s">
        <v>498</v>
      </c>
      <c r="D243" t="s">
        <v>499</v>
      </c>
      <c r="E243">
        <v>36</v>
      </c>
      <c r="F243">
        <v>39</v>
      </c>
      <c r="G243">
        <v>37</v>
      </c>
      <c r="H243">
        <v>1239208448</v>
      </c>
      <c r="I243">
        <v>1389759360</v>
      </c>
      <c r="J243">
        <v>1250238848</v>
      </c>
      <c r="K243">
        <v>30.206771738479901</v>
      </c>
      <c r="L243">
        <v>30.372187952626</v>
      </c>
      <c r="M243">
        <v>30.2195565903999</v>
      </c>
      <c r="N243">
        <v>413375546.39999998</v>
      </c>
      <c r="O243">
        <v>401999458.89999998</v>
      </c>
      <c r="P243">
        <v>464598193.10000002</v>
      </c>
    </row>
    <row r="244" spans="1:16">
      <c r="A244">
        <v>22931.599999999999</v>
      </c>
      <c r="B244">
        <v>2</v>
      </c>
      <c r="C244" t="s">
        <v>500</v>
      </c>
      <c r="D244" t="s">
        <v>501</v>
      </c>
      <c r="E244">
        <v>2</v>
      </c>
      <c r="F244">
        <v>2</v>
      </c>
      <c r="G244">
        <v>2</v>
      </c>
      <c r="H244">
        <v>3282122.25</v>
      </c>
      <c r="I244">
        <v>2610402.75</v>
      </c>
      <c r="J244">
        <v>3014062.5</v>
      </c>
      <c r="K244">
        <v>21.6461975455871</v>
      </c>
      <c r="L244">
        <v>21.315840981713801</v>
      </c>
      <c r="M244">
        <v>21.523277902485901</v>
      </c>
      <c r="N244">
        <v>987021.6</v>
      </c>
      <c r="O244">
        <v>650395.4</v>
      </c>
      <c r="P244">
        <v>861160.7</v>
      </c>
    </row>
    <row r="245" spans="1:16">
      <c r="A245">
        <v>64961.2</v>
      </c>
      <c r="B245">
        <v>24</v>
      </c>
      <c r="C245" t="s">
        <v>502</v>
      </c>
      <c r="D245" t="s">
        <v>503</v>
      </c>
      <c r="E245">
        <v>23</v>
      </c>
      <c r="F245">
        <v>24</v>
      </c>
      <c r="G245">
        <v>21</v>
      </c>
      <c r="H245">
        <v>13230938</v>
      </c>
      <c r="I245">
        <v>12529932</v>
      </c>
      <c r="J245">
        <v>12300254</v>
      </c>
      <c r="K245">
        <v>23.657412008517301</v>
      </c>
      <c r="L245">
        <v>23.578875249379699</v>
      </c>
      <c r="M245">
        <v>23.552184771707498</v>
      </c>
      <c r="N245">
        <v>3238911.8</v>
      </c>
      <c r="O245">
        <v>3345750.5</v>
      </c>
      <c r="P245">
        <v>3329332.4</v>
      </c>
    </row>
    <row r="246" spans="1:16">
      <c r="A246">
        <v>16008.23</v>
      </c>
      <c r="B246">
        <v>1</v>
      </c>
      <c r="C246" t="s">
        <v>504</v>
      </c>
      <c r="D246" t="s">
        <v>505</v>
      </c>
      <c r="E246">
        <v>1</v>
      </c>
      <c r="F246">
        <v>1</v>
      </c>
      <c r="G246">
        <v>1</v>
      </c>
      <c r="H246">
        <v>3746.99951171875</v>
      </c>
      <c r="I246">
        <v>11505.4609375</v>
      </c>
      <c r="J246">
        <v>18471.224609375</v>
      </c>
      <c r="K246">
        <v>11.8715200743277</v>
      </c>
      <c r="L246">
        <v>13.490031162235701</v>
      </c>
      <c r="M246">
        <v>14.1729918971586</v>
      </c>
      <c r="N246">
        <v>1388.9</v>
      </c>
      <c r="O246">
        <v>4602.2</v>
      </c>
      <c r="P246">
        <v>21834.400000000001</v>
      </c>
    </row>
    <row r="247" spans="1:16">
      <c r="A247">
        <v>6477.54</v>
      </c>
      <c r="B247">
        <v>2</v>
      </c>
      <c r="C247" t="s">
        <v>506</v>
      </c>
      <c r="D247" t="s">
        <v>507</v>
      </c>
      <c r="E247">
        <v>2</v>
      </c>
      <c r="F247">
        <v>2</v>
      </c>
      <c r="G247">
        <v>2</v>
      </c>
      <c r="H247">
        <v>5686478.5</v>
      </c>
      <c r="I247">
        <v>4047492</v>
      </c>
      <c r="J247">
        <v>7155500</v>
      </c>
      <c r="K247">
        <v>22.439104071880099</v>
      </c>
      <c r="L247">
        <v>21.948596798320999</v>
      </c>
      <c r="M247">
        <v>22.770621150017099</v>
      </c>
      <c r="N247">
        <v>17018199.699999999</v>
      </c>
      <c r="O247">
        <v>17020554.699999999</v>
      </c>
      <c r="P247">
        <v>24427049.600000001</v>
      </c>
    </row>
    <row r="248" spans="1:16">
      <c r="A248">
        <v>49793.31</v>
      </c>
      <c r="B248">
        <v>45</v>
      </c>
      <c r="C248" t="s">
        <v>508</v>
      </c>
      <c r="D248" t="s">
        <v>509</v>
      </c>
      <c r="E248">
        <v>42</v>
      </c>
      <c r="F248">
        <v>45</v>
      </c>
      <c r="G248">
        <v>43</v>
      </c>
      <c r="H248">
        <v>220594560</v>
      </c>
      <c r="I248">
        <v>222558864</v>
      </c>
      <c r="J248">
        <v>220219488</v>
      </c>
      <c r="K248">
        <v>27.716821972703599</v>
      </c>
      <c r="L248">
        <v>27.729611720208901</v>
      </c>
      <c r="M248">
        <v>27.7143669028282</v>
      </c>
      <c r="N248">
        <v>102480458.5</v>
      </c>
      <c r="O248">
        <v>109692880.59999999</v>
      </c>
      <c r="P248">
        <v>106290406.59999999</v>
      </c>
    </row>
    <row r="249" spans="1:16">
      <c r="A249">
        <v>50829.1</v>
      </c>
      <c r="B249">
        <v>29</v>
      </c>
      <c r="C249" t="s">
        <v>510</v>
      </c>
      <c r="D249" t="s">
        <v>511</v>
      </c>
      <c r="E249">
        <v>27</v>
      </c>
      <c r="F249">
        <v>29</v>
      </c>
      <c r="G249">
        <v>28</v>
      </c>
      <c r="H249">
        <v>31309856</v>
      </c>
      <c r="I249">
        <v>31976074</v>
      </c>
      <c r="J249">
        <v>32751162</v>
      </c>
      <c r="K249">
        <v>24.900113537473601</v>
      </c>
      <c r="L249">
        <v>24.930489480815002</v>
      </c>
      <c r="M249">
        <v>24.965042758095102</v>
      </c>
      <c r="N249">
        <v>8527183.6999999993</v>
      </c>
      <c r="O249">
        <v>8423438.5999999996</v>
      </c>
      <c r="P249">
        <v>8624175.9000000004</v>
      </c>
    </row>
    <row r="250" spans="1:16">
      <c r="A250">
        <v>25472.68</v>
      </c>
      <c r="B250">
        <v>14</v>
      </c>
      <c r="C250" t="s">
        <v>512</v>
      </c>
      <c r="D250" t="s">
        <v>513</v>
      </c>
      <c r="E250">
        <v>14</v>
      </c>
      <c r="F250">
        <v>14</v>
      </c>
      <c r="G250">
        <v>14</v>
      </c>
      <c r="H250">
        <v>4343220.5</v>
      </c>
      <c r="I250">
        <v>3997990.25</v>
      </c>
      <c r="J250">
        <v>3929432</v>
      </c>
      <c r="K250">
        <v>22.050333767840399</v>
      </c>
      <c r="L250">
        <v>21.930843523074099</v>
      </c>
      <c r="M250">
        <v>21.905889355088899</v>
      </c>
      <c r="N250">
        <v>2274497.2000000002</v>
      </c>
      <c r="O250">
        <v>2156436.7999999998</v>
      </c>
      <c r="P250">
        <v>2191042</v>
      </c>
    </row>
    <row r="251" spans="1:16">
      <c r="A251">
        <v>32928.85</v>
      </c>
      <c r="B251">
        <v>11</v>
      </c>
      <c r="C251" t="s">
        <v>514</v>
      </c>
      <c r="D251" t="s">
        <v>515</v>
      </c>
      <c r="E251">
        <v>10</v>
      </c>
      <c r="F251">
        <v>10</v>
      </c>
      <c r="G251">
        <v>11</v>
      </c>
      <c r="H251">
        <v>1124721</v>
      </c>
      <c r="I251">
        <v>1466676.5</v>
      </c>
      <c r="J251">
        <v>1072966.375</v>
      </c>
      <c r="K251">
        <v>20.101135738023199</v>
      </c>
      <c r="L251">
        <v>20.484119264935</v>
      </c>
      <c r="M251">
        <v>20.033173434439199</v>
      </c>
      <c r="N251">
        <v>323530.90000000002</v>
      </c>
      <c r="O251">
        <v>356369.2</v>
      </c>
      <c r="P251">
        <v>315923.40000000002</v>
      </c>
    </row>
    <row r="252" spans="1:16">
      <c r="A252">
        <v>10134.6</v>
      </c>
      <c r="B252">
        <v>9</v>
      </c>
      <c r="C252" t="s">
        <v>516</v>
      </c>
      <c r="D252" t="s">
        <v>517</v>
      </c>
      <c r="E252">
        <v>8</v>
      </c>
      <c r="F252">
        <v>9</v>
      </c>
      <c r="G252">
        <v>8</v>
      </c>
      <c r="H252">
        <v>19635272</v>
      </c>
      <c r="I252">
        <v>22151190</v>
      </c>
      <c r="J252">
        <v>19356852</v>
      </c>
      <c r="K252">
        <v>24.226944247463202</v>
      </c>
      <c r="L252">
        <v>24.400880869131001</v>
      </c>
      <c r="M252">
        <v>24.2063410107667</v>
      </c>
      <c r="N252">
        <v>33529221.300000001</v>
      </c>
      <c r="O252">
        <v>63344038.899999999</v>
      </c>
      <c r="P252">
        <v>30192351.600000001</v>
      </c>
    </row>
    <row r="253" spans="1:16">
      <c r="A253">
        <v>11814.75</v>
      </c>
      <c r="B253">
        <v>6</v>
      </c>
      <c r="C253" t="s">
        <v>518</v>
      </c>
      <c r="D253" t="s">
        <v>519</v>
      </c>
      <c r="E253">
        <v>6</v>
      </c>
      <c r="F253">
        <v>6</v>
      </c>
      <c r="G253">
        <v>6</v>
      </c>
      <c r="H253">
        <v>8066864</v>
      </c>
      <c r="I253">
        <v>7415986.5</v>
      </c>
      <c r="J253">
        <v>7867712</v>
      </c>
      <c r="K253">
        <v>22.943576502933102</v>
      </c>
      <c r="L253">
        <v>22.822207187019899</v>
      </c>
      <c r="M253">
        <v>22.907512717614601</v>
      </c>
      <c r="N253">
        <v>4444227.7</v>
      </c>
      <c r="O253">
        <v>4170538.1</v>
      </c>
      <c r="P253">
        <v>4172010.5</v>
      </c>
    </row>
    <row r="254" spans="1:16">
      <c r="A254">
        <v>11203.32</v>
      </c>
      <c r="B254">
        <v>6</v>
      </c>
      <c r="C254" t="s">
        <v>520</v>
      </c>
      <c r="D254" t="s">
        <v>521</v>
      </c>
      <c r="E254">
        <v>6</v>
      </c>
      <c r="F254">
        <v>6</v>
      </c>
      <c r="G254">
        <v>6</v>
      </c>
      <c r="H254">
        <v>31798470</v>
      </c>
      <c r="I254">
        <v>31938724</v>
      </c>
      <c r="J254">
        <v>38913676</v>
      </c>
      <c r="K254">
        <v>24.9224540153653</v>
      </c>
      <c r="L254">
        <v>24.928803340278002</v>
      </c>
      <c r="M254">
        <v>25.213773935873299</v>
      </c>
      <c r="N254">
        <v>48529267.100000001</v>
      </c>
      <c r="O254">
        <v>44018002.100000001</v>
      </c>
      <c r="P254">
        <v>56412468.399999999</v>
      </c>
    </row>
    <row r="255" spans="1:16">
      <c r="A255">
        <v>33917.449999999997</v>
      </c>
      <c r="B255">
        <v>14</v>
      </c>
      <c r="C255" t="s">
        <v>522</v>
      </c>
      <c r="D255" t="s">
        <v>523</v>
      </c>
      <c r="E255">
        <v>14</v>
      </c>
      <c r="F255">
        <v>14</v>
      </c>
      <c r="G255">
        <v>13</v>
      </c>
      <c r="H255">
        <v>5278393.5</v>
      </c>
      <c r="I255">
        <v>5734979.5</v>
      </c>
      <c r="J255">
        <v>5728122</v>
      </c>
      <c r="K255">
        <v>22.331667475755101</v>
      </c>
      <c r="L255">
        <v>22.451356898581601</v>
      </c>
      <c r="M255">
        <v>22.449630789391499</v>
      </c>
      <c r="N255">
        <v>2473832.4</v>
      </c>
      <c r="O255">
        <v>1861577.2</v>
      </c>
      <c r="P255">
        <v>2322598.1</v>
      </c>
    </row>
    <row r="256" spans="1:16">
      <c r="A256">
        <v>5687.67</v>
      </c>
      <c r="B256">
        <v>3</v>
      </c>
      <c r="C256" t="s">
        <v>524</v>
      </c>
      <c r="D256" t="s">
        <v>525</v>
      </c>
      <c r="E256">
        <v>3</v>
      </c>
      <c r="F256">
        <v>2</v>
      </c>
      <c r="G256">
        <v>2</v>
      </c>
      <c r="H256">
        <v>113973.53125</v>
      </c>
      <c r="I256">
        <v>164379.375</v>
      </c>
      <c r="J256">
        <v>91909.3125</v>
      </c>
      <c r="K256">
        <v>16.798339292088698</v>
      </c>
      <c r="L256">
        <v>17.326669767058</v>
      </c>
      <c r="M256">
        <v>16.487923426231301</v>
      </c>
      <c r="N256">
        <v>303709.7</v>
      </c>
      <c r="O256">
        <v>350623.2</v>
      </c>
      <c r="P256">
        <v>226006.5</v>
      </c>
    </row>
    <row r="257" spans="1:16">
      <c r="A257">
        <v>40473.760000000002</v>
      </c>
      <c r="B257">
        <v>28</v>
      </c>
      <c r="C257" t="s">
        <v>526</v>
      </c>
      <c r="D257" t="s">
        <v>527</v>
      </c>
      <c r="E257">
        <v>27</v>
      </c>
      <c r="F257">
        <v>28</v>
      </c>
      <c r="G257">
        <v>27</v>
      </c>
      <c r="H257">
        <v>66376764</v>
      </c>
      <c r="I257">
        <v>71695232</v>
      </c>
      <c r="J257">
        <v>75337032</v>
      </c>
      <c r="K257">
        <v>25.984174961073499</v>
      </c>
      <c r="L257">
        <v>26.095373841734499</v>
      </c>
      <c r="M257">
        <v>26.166855861775701</v>
      </c>
      <c r="N257">
        <v>44868127.5</v>
      </c>
      <c r="O257">
        <v>49403797</v>
      </c>
      <c r="P257">
        <v>47676558.399999999</v>
      </c>
    </row>
    <row r="258" spans="1:16">
      <c r="A258">
        <v>24578.92</v>
      </c>
      <c r="B258">
        <v>12</v>
      </c>
      <c r="C258" t="s">
        <v>528</v>
      </c>
      <c r="D258" t="s">
        <v>529</v>
      </c>
      <c r="E258">
        <v>12</v>
      </c>
      <c r="F258">
        <v>12</v>
      </c>
      <c r="G258">
        <v>12</v>
      </c>
      <c r="H258">
        <v>8908851</v>
      </c>
      <c r="I258">
        <v>8654051</v>
      </c>
      <c r="J258">
        <v>9285184</v>
      </c>
      <c r="K258">
        <v>23.086807944562501</v>
      </c>
      <c r="L258">
        <v>23.044944192190499</v>
      </c>
      <c r="M258">
        <v>23.146499068957901</v>
      </c>
      <c r="N258">
        <v>9170788.0999999996</v>
      </c>
      <c r="O258">
        <v>9414817.5</v>
      </c>
      <c r="P258">
        <v>9679322.4000000004</v>
      </c>
    </row>
    <row r="259" spans="1:16">
      <c r="A259">
        <v>37059.410000000003</v>
      </c>
      <c r="B259">
        <v>21</v>
      </c>
      <c r="C259" t="s">
        <v>530</v>
      </c>
      <c r="D259" t="s">
        <v>531</v>
      </c>
      <c r="E259">
        <v>20</v>
      </c>
      <c r="F259">
        <v>21</v>
      </c>
      <c r="G259">
        <v>20</v>
      </c>
      <c r="H259">
        <v>54405480</v>
      </c>
      <c r="I259">
        <v>59664352</v>
      </c>
      <c r="J259">
        <v>57507708</v>
      </c>
      <c r="K259">
        <v>25.6972486386769</v>
      </c>
      <c r="L259">
        <v>25.830365877885701</v>
      </c>
      <c r="M259">
        <v>25.777252003713599</v>
      </c>
      <c r="N259">
        <v>16207077.800000001</v>
      </c>
      <c r="O259">
        <v>16591457.5</v>
      </c>
      <c r="P259">
        <v>16128121.800000001</v>
      </c>
    </row>
    <row r="260" spans="1:16">
      <c r="A260">
        <v>12709.99</v>
      </c>
      <c r="B260">
        <v>4</v>
      </c>
      <c r="C260" t="s">
        <v>532</v>
      </c>
      <c r="D260" t="s">
        <v>533</v>
      </c>
      <c r="E260">
        <v>4</v>
      </c>
      <c r="F260">
        <v>4</v>
      </c>
      <c r="G260">
        <v>4</v>
      </c>
      <c r="H260">
        <v>235991.046875</v>
      </c>
      <c r="I260">
        <v>239349.25</v>
      </c>
      <c r="J260">
        <v>231679.40625</v>
      </c>
      <c r="K260">
        <v>17.8483726015067</v>
      </c>
      <c r="L260">
        <v>17.8687577598219</v>
      </c>
      <c r="M260">
        <v>17.821770284623799</v>
      </c>
      <c r="N260">
        <v>135277.6</v>
      </c>
      <c r="O260">
        <v>129638.9</v>
      </c>
      <c r="P260">
        <v>185961.60000000001</v>
      </c>
    </row>
    <row r="261" spans="1:16">
      <c r="A261">
        <v>18348.02</v>
      </c>
      <c r="B261">
        <v>12</v>
      </c>
      <c r="C261" t="s">
        <v>534</v>
      </c>
      <c r="D261" t="s">
        <v>535</v>
      </c>
      <c r="E261">
        <v>11</v>
      </c>
      <c r="F261">
        <v>12</v>
      </c>
      <c r="G261">
        <v>12</v>
      </c>
      <c r="H261">
        <v>13876322</v>
      </c>
      <c r="I261">
        <v>14236580</v>
      </c>
      <c r="J261">
        <v>14283008</v>
      </c>
      <c r="K261">
        <v>23.726121888069901</v>
      </c>
      <c r="L261">
        <v>23.763099278940501</v>
      </c>
      <c r="M261">
        <v>23.7677965070021</v>
      </c>
      <c r="N261">
        <v>4842150.9000000004</v>
      </c>
      <c r="O261">
        <v>5412079.2000000002</v>
      </c>
      <c r="P261">
        <v>6197864</v>
      </c>
    </row>
    <row r="262" spans="1:16">
      <c r="A262">
        <v>48954.42</v>
      </c>
      <c r="B262">
        <v>10</v>
      </c>
      <c r="C262" t="s">
        <v>536</v>
      </c>
      <c r="D262" t="s">
        <v>537</v>
      </c>
      <c r="E262">
        <v>9</v>
      </c>
      <c r="F262">
        <v>10</v>
      </c>
      <c r="G262">
        <v>9</v>
      </c>
      <c r="H262">
        <v>6292789.5</v>
      </c>
      <c r="I262">
        <v>5619197.5</v>
      </c>
      <c r="J262">
        <v>6162591.5</v>
      </c>
      <c r="K262">
        <v>22.585268253472702</v>
      </c>
      <c r="L262">
        <v>22.4219326774503</v>
      </c>
      <c r="M262">
        <v>22.5551057316043</v>
      </c>
      <c r="N262">
        <v>1787271.9</v>
      </c>
      <c r="O262">
        <v>1653084.4</v>
      </c>
      <c r="P262">
        <v>1722343.8</v>
      </c>
    </row>
    <row r="263" spans="1:16">
      <c r="A263">
        <v>35552.9</v>
      </c>
      <c r="B263">
        <v>17</v>
      </c>
      <c r="C263" t="s">
        <v>538</v>
      </c>
      <c r="D263" t="s">
        <v>539</v>
      </c>
      <c r="E263">
        <v>17</v>
      </c>
      <c r="F263">
        <v>16</v>
      </c>
      <c r="G263">
        <v>16</v>
      </c>
      <c r="H263">
        <v>24976086</v>
      </c>
      <c r="I263">
        <v>24232478</v>
      </c>
      <c r="J263">
        <v>24916482</v>
      </c>
      <c r="K263">
        <v>24.574044074271299</v>
      </c>
      <c r="L263">
        <v>24.5304386057534</v>
      </c>
      <c r="M263">
        <v>24.5705970504129</v>
      </c>
      <c r="N263">
        <v>7773522.0999999996</v>
      </c>
      <c r="O263">
        <v>7124079.0999999996</v>
      </c>
      <c r="P263">
        <v>7451711.0999999996</v>
      </c>
    </row>
    <row r="264" spans="1:16">
      <c r="A264">
        <v>23553.02</v>
      </c>
      <c r="B264">
        <v>2</v>
      </c>
      <c r="C264" t="s">
        <v>540</v>
      </c>
      <c r="D264" t="s">
        <v>541</v>
      </c>
      <c r="E264">
        <v>2</v>
      </c>
      <c r="F264">
        <v>2</v>
      </c>
      <c r="G264">
        <v>2</v>
      </c>
      <c r="H264">
        <v>88855.546875</v>
      </c>
      <c r="I264">
        <v>97639.2890625</v>
      </c>
      <c r="J264">
        <v>46512.0234375</v>
      </c>
      <c r="K264">
        <v>16.4391742199482</v>
      </c>
      <c r="L264">
        <v>16.5751741700624</v>
      </c>
      <c r="M264">
        <v>15.5053160831132</v>
      </c>
      <c r="N264">
        <v>33030.9</v>
      </c>
      <c r="O264">
        <v>39025.300000000003</v>
      </c>
      <c r="P264">
        <v>19551.7</v>
      </c>
    </row>
    <row r="265" spans="1:16">
      <c r="A265">
        <v>106256.27</v>
      </c>
      <c r="B265">
        <v>48</v>
      </c>
      <c r="C265" t="s">
        <v>542</v>
      </c>
      <c r="D265" t="s">
        <v>543</v>
      </c>
      <c r="E265">
        <v>46</v>
      </c>
      <c r="F265">
        <v>48</v>
      </c>
      <c r="G265">
        <v>44</v>
      </c>
      <c r="H265">
        <v>14862030</v>
      </c>
      <c r="I265">
        <v>14745642</v>
      </c>
      <c r="J265">
        <v>14268830</v>
      </c>
      <c r="K265">
        <v>23.825127850808801</v>
      </c>
      <c r="L265">
        <v>23.813785300449901</v>
      </c>
      <c r="M265">
        <v>23.7663637073363</v>
      </c>
      <c r="N265">
        <v>7294892.2000000002</v>
      </c>
      <c r="O265">
        <v>7040355.0999999996</v>
      </c>
      <c r="P265">
        <v>7188964.7000000002</v>
      </c>
    </row>
    <row r="266" spans="1:16">
      <c r="A266">
        <v>39056.629999999997</v>
      </c>
      <c r="B266">
        <v>13</v>
      </c>
      <c r="C266" t="s">
        <v>544</v>
      </c>
      <c r="D266" t="s">
        <v>545</v>
      </c>
      <c r="E266">
        <v>13</v>
      </c>
      <c r="F266">
        <v>13</v>
      </c>
      <c r="G266">
        <v>13</v>
      </c>
      <c r="H266">
        <v>3050170.25</v>
      </c>
      <c r="I266">
        <v>3322139.25</v>
      </c>
      <c r="J266">
        <v>3020069</v>
      </c>
      <c r="K266">
        <v>21.540458340516299</v>
      </c>
      <c r="L266">
        <v>21.663681115554599</v>
      </c>
      <c r="M266">
        <v>21.526150080735601</v>
      </c>
      <c r="N266">
        <v>1381141.8</v>
      </c>
      <c r="O266">
        <v>1436813.6</v>
      </c>
      <c r="P266">
        <v>1362930.5</v>
      </c>
    </row>
    <row r="267" spans="1:16">
      <c r="A267">
        <v>16373.41</v>
      </c>
      <c r="B267">
        <v>9</v>
      </c>
      <c r="C267" t="s">
        <v>546</v>
      </c>
      <c r="D267" t="s">
        <v>547</v>
      </c>
      <c r="E267">
        <v>8</v>
      </c>
      <c r="F267">
        <v>9</v>
      </c>
      <c r="G267">
        <v>8</v>
      </c>
      <c r="H267">
        <v>26770494</v>
      </c>
      <c r="I267">
        <v>24377234</v>
      </c>
      <c r="J267">
        <v>26470194</v>
      </c>
      <c r="K267">
        <v>24.674140425707002</v>
      </c>
      <c r="L267">
        <v>24.5390311018649</v>
      </c>
      <c r="M267">
        <v>24.6578654325927</v>
      </c>
      <c r="N267">
        <v>35153045</v>
      </c>
      <c r="O267">
        <v>33329469.800000001</v>
      </c>
      <c r="P267">
        <v>34155060.299999997</v>
      </c>
    </row>
    <row r="268" spans="1:16">
      <c r="A268">
        <v>41327.550000000003</v>
      </c>
      <c r="B268">
        <v>31</v>
      </c>
      <c r="C268" t="s">
        <v>548</v>
      </c>
      <c r="D268" t="s">
        <v>549</v>
      </c>
      <c r="E268">
        <v>29</v>
      </c>
      <c r="F268">
        <v>31</v>
      </c>
      <c r="G268">
        <v>29</v>
      </c>
      <c r="H268">
        <v>233178832</v>
      </c>
      <c r="I268">
        <v>222620576</v>
      </c>
      <c r="J268">
        <v>222609360</v>
      </c>
      <c r="K268">
        <v>27.7968615855672</v>
      </c>
      <c r="L268">
        <v>27.730011700931001</v>
      </c>
      <c r="M268">
        <v>27.729939013691101</v>
      </c>
      <c r="N268">
        <v>96175825.200000003</v>
      </c>
      <c r="O268">
        <v>84165767.099999994</v>
      </c>
      <c r="P268">
        <v>103855481.5</v>
      </c>
    </row>
    <row r="269" spans="1:16">
      <c r="A269">
        <v>45538.31</v>
      </c>
      <c r="B269">
        <v>18</v>
      </c>
      <c r="C269" t="s">
        <v>550</v>
      </c>
      <c r="D269" t="s">
        <v>551</v>
      </c>
      <c r="E269">
        <v>18</v>
      </c>
      <c r="F269">
        <v>18</v>
      </c>
      <c r="G269">
        <v>18</v>
      </c>
      <c r="H269">
        <v>10693203</v>
      </c>
      <c r="I269">
        <v>9272405</v>
      </c>
      <c r="J269">
        <v>10434320</v>
      </c>
      <c r="K269">
        <v>23.350190721205902</v>
      </c>
      <c r="L269">
        <v>23.144512151062301</v>
      </c>
      <c r="M269">
        <v>23.314833247977699</v>
      </c>
      <c r="N269">
        <v>3883027</v>
      </c>
      <c r="O269">
        <v>2984665.7</v>
      </c>
      <c r="P269">
        <v>1567040.6</v>
      </c>
    </row>
    <row r="270" spans="1:16">
      <c r="A270">
        <v>35049.599999999999</v>
      </c>
      <c r="B270">
        <v>15</v>
      </c>
      <c r="C270" t="s">
        <v>552</v>
      </c>
      <c r="D270" t="s">
        <v>553</v>
      </c>
      <c r="E270">
        <v>14</v>
      </c>
      <c r="F270">
        <v>15</v>
      </c>
      <c r="G270">
        <v>13</v>
      </c>
      <c r="H270">
        <v>2241349.5</v>
      </c>
      <c r="I270">
        <v>2267012.5</v>
      </c>
      <c r="J270">
        <v>2435831.5</v>
      </c>
      <c r="K270">
        <v>21.095936199253401</v>
      </c>
      <c r="L270">
        <v>21.112360915249901</v>
      </c>
      <c r="M270">
        <v>21.215982906787499</v>
      </c>
      <c r="N270">
        <v>1265715.3</v>
      </c>
      <c r="O270">
        <v>1496470.4</v>
      </c>
      <c r="P270">
        <v>1399690.5</v>
      </c>
    </row>
    <row r="271" spans="1:16">
      <c r="A271">
        <v>15805.22</v>
      </c>
      <c r="B271">
        <v>7</v>
      </c>
      <c r="C271" t="s">
        <v>554</v>
      </c>
      <c r="D271" t="s">
        <v>555</v>
      </c>
      <c r="E271">
        <v>7</v>
      </c>
      <c r="F271">
        <v>6</v>
      </c>
      <c r="G271">
        <v>7</v>
      </c>
      <c r="H271">
        <v>1780777.25</v>
      </c>
      <c r="I271">
        <v>2108586</v>
      </c>
      <c r="J271">
        <v>1725608.5</v>
      </c>
      <c r="K271">
        <v>20.764075636342898</v>
      </c>
      <c r="L271">
        <v>21.007844433361502</v>
      </c>
      <c r="M271">
        <v>20.7186737573779</v>
      </c>
      <c r="N271">
        <v>825971.1</v>
      </c>
      <c r="O271">
        <v>1175735.3999999999</v>
      </c>
      <c r="P271">
        <v>855949</v>
      </c>
    </row>
    <row r="272" spans="1:16">
      <c r="A272">
        <v>6491.69</v>
      </c>
      <c r="B272">
        <v>2</v>
      </c>
      <c r="C272" t="s">
        <v>556</v>
      </c>
      <c r="D272" t="s">
        <v>557</v>
      </c>
      <c r="E272">
        <v>1</v>
      </c>
      <c r="F272">
        <v>2</v>
      </c>
      <c r="G272">
        <v>2</v>
      </c>
      <c r="H272">
        <v>798326.25</v>
      </c>
      <c r="I272">
        <v>1228569.25</v>
      </c>
      <c r="J272">
        <v>952031.125</v>
      </c>
      <c r="K272">
        <v>19.6066189239775</v>
      </c>
      <c r="L272">
        <v>20.2285477488116</v>
      </c>
      <c r="M272">
        <v>19.8606492151434</v>
      </c>
      <c r="N272">
        <v>3978097.7</v>
      </c>
      <c r="O272">
        <v>5578822.5</v>
      </c>
      <c r="P272">
        <v>4993144.3</v>
      </c>
    </row>
    <row r="273" spans="1:16">
      <c r="A273">
        <v>20359.650000000001</v>
      </c>
      <c r="B273">
        <v>12</v>
      </c>
      <c r="C273" t="s">
        <v>558</v>
      </c>
      <c r="D273" t="s">
        <v>559</v>
      </c>
      <c r="E273">
        <v>12</v>
      </c>
      <c r="F273">
        <v>12</v>
      </c>
      <c r="G273">
        <v>12</v>
      </c>
      <c r="H273">
        <v>15291606</v>
      </c>
      <c r="I273">
        <v>24341132</v>
      </c>
      <c r="J273">
        <v>22913744</v>
      </c>
      <c r="K273">
        <v>23.866236597827299</v>
      </c>
      <c r="L273">
        <v>24.5368929272841</v>
      </c>
      <c r="M273">
        <v>24.449709871825</v>
      </c>
      <c r="N273">
        <v>7864608.7000000002</v>
      </c>
      <c r="O273">
        <v>9352901.1999999993</v>
      </c>
      <c r="P273">
        <v>8936093.6999999993</v>
      </c>
    </row>
    <row r="274" spans="1:16">
      <c r="A274">
        <v>92333.58</v>
      </c>
      <c r="B274">
        <v>55</v>
      </c>
      <c r="C274" t="s">
        <v>560</v>
      </c>
      <c r="D274" t="s">
        <v>561</v>
      </c>
      <c r="E274">
        <v>51</v>
      </c>
      <c r="F274">
        <v>54</v>
      </c>
      <c r="G274">
        <v>51</v>
      </c>
      <c r="H274">
        <v>134673728</v>
      </c>
      <c r="I274">
        <v>154110960</v>
      </c>
      <c r="J274">
        <v>148539584</v>
      </c>
      <c r="K274">
        <v>27.0048931980144</v>
      </c>
      <c r="L274">
        <v>27.199394225593899</v>
      </c>
      <c r="M274">
        <v>27.146272202115298</v>
      </c>
      <c r="N274">
        <v>36710922.299999997</v>
      </c>
      <c r="O274">
        <v>39971268.600000001</v>
      </c>
      <c r="P274">
        <v>40436496.700000003</v>
      </c>
    </row>
    <row r="275" spans="1:16">
      <c r="A275">
        <v>40414.639999999999</v>
      </c>
      <c r="B275">
        <v>32</v>
      </c>
      <c r="C275" t="s">
        <v>562</v>
      </c>
      <c r="D275" t="s">
        <v>563</v>
      </c>
      <c r="E275">
        <v>28</v>
      </c>
      <c r="F275">
        <v>32</v>
      </c>
      <c r="G275">
        <v>30</v>
      </c>
      <c r="H275">
        <v>99613200</v>
      </c>
      <c r="I275">
        <v>110954472</v>
      </c>
      <c r="J275">
        <v>107706528</v>
      </c>
      <c r="K275">
        <v>26.569833594383599</v>
      </c>
      <c r="L275">
        <v>26.725392575369298</v>
      </c>
      <c r="M275">
        <v>26.682530452136199</v>
      </c>
      <c r="N275">
        <v>32909208.399999999</v>
      </c>
      <c r="O275">
        <v>32434178.600000001</v>
      </c>
      <c r="P275">
        <v>34495281</v>
      </c>
    </row>
    <row r="276" spans="1:16">
      <c r="A276">
        <v>24438.2</v>
      </c>
      <c r="B276">
        <v>19</v>
      </c>
      <c r="C276" t="s">
        <v>564</v>
      </c>
      <c r="D276" t="s">
        <v>565</v>
      </c>
      <c r="E276">
        <v>18</v>
      </c>
      <c r="F276">
        <v>19</v>
      </c>
      <c r="G276">
        <v>18</v>
      </c>
      <c r="H276">
        <v>62373156</v>
      </c>
      <c r="I276">
        <v>65870876</v>
      </c>
      <c r="J276">
        <v>66966420</v>
      </c>
      <c r="K276">
        <v>25.894421923455301</v>
      </c>
      <c r="L276">
        <v>25.973137400496999</v>
      </c>
      <c r="M276">
        <v>25.996934508380701</v>
      </c>
      <c r="N276">
        <v>33231258.199999999</v>
      </c>
      <c r="O276">
        <v>32023465</v>
      </c>
      <c r="P276">
        <v>32128227.600000001</v>
      </c>
    </row>
    <row r="277" spans="1:16">
      <c r="A277">
        <v>63338.43</v>
      </c>
      <c r="B277">
        <v>28</v>
      </c>
      <c r="C277" t="s">
        <v>566</v>
      </c>
      <c r="D277" t="s">
        <v>567</v>
      </c>
      <c r="E277">
        <v>28</v>
      </c>
      <c r="F277">
        <v>28</v>
      </c>
      <c r="G277">
        <v>28</v>
      </c>
      <c r="H277">
        <v>13700616</v>
      </c>
      <c r="I277">
        <v>17275972</v>
      </c>
      <c r="J277">
        <v>15883961</v>
      </c>
      <c r="K277">
        <v>23.707737424562701</v>
      </c>
      <c r="L277">
        <v>24.042263547625598</v>
      </c>
      <c r="M277">
        <v>23.9210673879317</v>
      </c>
      <c r="N277">
        <v>4560125.2</v>
      </c>
      <c r="O277">
        <v>4804607.5999999996</v>
      </c>
      <c r="P277">
        <v>4845486.5</v>
      </c>
    </row>
    <row r="278" spans="1:16">
      <c r="A278">
        <v>20840.28</v>
      </c>
      <c r="B278">
        <v>19</v>
      </c>
      <c r="C278" t="s">
        <v>568</v>
      </c>
      <c r="D278" t="s">
        <v>569</v>
      </c>
      <c r="E278">
        <v>18</v>
      </c>
      <c r="F278">
        <v>19</v>
      </c>
      <c r="G278">
        <v>18</v>
      </c>
      <c r="H278">
        <v>56275360</v>
      </c>
      <c r="I278">
        <v>58566848</v>
      </c>
      <c r="J278">
        <v>52607088</v>
      </c>
      <c r="K278">
        <v>25.746000045007801</v>
      </c>
      <c r="L278">
        <v>25.803580916570201</v>
      </c>
      <c r="M278">
        <v>25.648753857902701</v>
      </c>
      <c r="N278">
        <v>54959098.5</v>
      </c>
      <c r="O278">
        <v>52447629.299999997</v>
      </c>
      <c r="P278">
        <v>53910375.899999999</v>
      </c>
    </row>
    <row r="279" spans="1:16">
      <c r="A279">
        <v>26155.4</v>
      </c>
      <c r="B279">
        <v>14</v>
      </c>
      <c r="C279" t="s">
        <v>570</v>
      </c>
      <c r="D279" t="s">
        <v>571</v>
      </c>
      <c r="E279">
        <v>14</v>
      </c>
      <c r="F279">
        <v>14</v>
      </c>
      <c r="G279">
        <v>14</v>
      </c>
      <c r="H279">
        <v>21380194</v>
      </c>
      <c r="I279">
        <v>20943112</v>
      </c>
      <c r="J279">
        <v>22885040</v>
      </c>
      <c r="K279">
        <v>24.3497716080822</v>
      </c>
      <c r="L279">
        <v>24.319972496804201</v>
      </c>
      <c r="M279">
        <v>24.4479014777909</v>
      </c>
      <c r="N279">
        <v>11429686.6</v>
      </c>
      <c r="O279">
        <v>11683633.6</v>
      </c>
      <c r="P279">
        <v>11784142.300000001</v>
      </c>
    </row>
    <row r="280" spans="1:16">
      <c r="A280">
        <v>23588.03</v>
      </c>
      <c r="B280">
        <v>8</v>
      </c>
      <c r="C280" t="s">
        <v>572</v>
      </c>
      <c r="D280" t="s">
        <v>573</v>
      </c>
      <c r="E280">
        <v>8</v>
      </c>
      <c r="F280">
        <v>8</v>
      </c>
      <c r="G280">
        <v>8</v>
      </c>
      <c r="H280">
        <v>23108116</v>
      </c>
      <c r="I280">
        <v>22195290</v>
      </c>
      <c r="J280">
        <v>24908012</v>
      </c>
      <c r="K280">
        <v>24.4618963061782</v>
      </c>
      <c r="L280">
        <v>24.403750223013201</v>
      </c>
      <c r="M280">
        <v>24.570106543590601</v>
      </c>
      <c r="N280">
        <v>12850272.800000001</v>
      </c>
      <c r="O280">
        <v>12460868.199999999</v>
      </c>
      <c r="P280">
        <v>14774397.1</v>
      </c>
    </row>
    <row r="281" spans="1:16">
      <c r="A281">
        <v>32590.5</v>
      </c>
      <c r="B281">
        <v>29</v>
      </c>
      <c r="C281" t="s">
        <v>574</v>
      </c>
      <c r="D281" t="s">
        <v>575</v>
      </c>
      <c r="E281">
        <v>29</v>
      </c>
      <c r="F281">
        <v>29</v>
      </c>
      <c r="G281">
        <v>29</v>
      </c>
      <c r="H281">
        <v>173108224</v>
      </c>
      <c r="I281">
        <v>167310112</v>
      </c>
      <c r="J281">
        <v>168126848</v>
      </c>
      <c r="K281">
        <v>27.367099024775001</v>
      </c>
      <c r="L281">
        <v>27.317949401674099</v>
      </c>
      <c r="M281">
        <v>27.3249748845274</v>
      </c>
      <c r="N281">
        <v>125648835.8</v>
      </c>
      <c r="O281">
        <v>113099491.7</v>
      </c>
      <c r="P281">
        <v>120339006</v>
      </c>
    </row>
    <row r="282" spans="1:16">
      <c r="A282">
        <v>32708.799999999999</v>
      </c>
      <c r="B282">
        <v>21</v>
      </c>
      <c r="C282" t="s">
        <v>576</v>
      </c>
      <c r="D282" t="s">
        <v>577</v>
      </c>
      <c r="E282">
        <v>21</v>
      </c>
      <c r="F282">
        <v>21</v>
      </c>
      <c r="G282">
        <v>19</v>
      </c>
      <c r="H282">
        <v>174857280</v>
      </c>
      <c r="I282">
        <v>193923952</v>
      </c>
      <c r="J282">
        <v>165943008</v>
      </c>
      <c r="K282">
        <v>27.381602621484301</v>
      </c>
      <c r="L282">
        <v>27.530915764181099</v>
      </c>
      <c r="M282">
        <v>27.306112601915299</v>
      </c>
      <c r="N282">
        <v>109519269.09999999</v>
      </c>
      <c r="O282">
        <v>95235965.400000006</v>
      </c>
      <c r="P282">
        <v>113569310</v>
      </c>
    </row>
    <row r="283" spans="1:16">
      <c r="A283">
        <v>41948.55</v>
      </c>
      <c r="B283">
        <v>15</v>
      </c>
      <c r="C283" t="s">
        <v>578</v>
      </c>
      <c r="D283" t="s">
        <v>579</v>
      </c>
      <c r="E283">
        <v>13</v>
      </c>
      <c r="F283">
        <v>15</v>
      </c>
      <c r="G283">
        <v>14</v>
      </c>
      <c r="H283">
        <v>17122920</v>
      </c>
      <c r="I283">
        <v>19345600</v>
      </c>
      <c r="J283">
        <v>18782284</v>
      </c>
      <c r="K283">
        <v>24.029425412113099</v>
      </c>
      <c r="L283">
        <v>24.205502138591001</v>
      </c>
      <c r="M283">
        <v>24.1628691752924</v>
      </c>
      <c r="N283">
        <v>10300657.5</v>
      </c>
      <c r="O283">
        <v>10634750.800000001</v>
      </c>
      <c r="P283">
        <v>11255571.1</v>
      </c>
    </row>
    <row r="284" spans="1:16">
      <c r="A284">
        <v>63955.47</v>
      </c>
      <c r="B284">
        <v>48</v>
      </c>
      <c r="C284" t="s">
        <v>580</v>
      </c>
      <c r="D284" t="s">
        <v>581</v>
      </c>
      <c r="E284">
        <v>46</v>
      </c>
      <c r="F284">
        <v>46</v>
      </c>
      <c r="G284">
        <v>45</v>
      </c>
      <c r="H284">
        <v>306321408</v>
      </c>
      <c r="I284">
        <v>323966880</v>
      </c>
      <c r="J284">
        <v>328562496</v>
      </c>
      <c r="K284">
        <v>28.1904709557326</v>
      </c>
      <c r="L284">
        <v>28.2712710891775</v>
      </c>
      <c r="M284">
        <v>28.291592571332298</v>
      </c>
      <c r="N284">
        <v>162214525.40000001</v>
      </c>
      <c r="O284">
        <v>153090810.90000001</v>
      </c>
      <c r="P284">
        <v>160124142.30000001</v>
      </c>
    </row>
    <row r="285" spans="1:16">
      <c r="A285">
        <v>23057.599999999999</v>
      </c>
      <c r="B285">
        <v>18</v>
      </c>
      <c r="C285" t="s">
        <v>582</v>
      </c>
      <c r="D285" t="s">
        <v>583</v>
      </c>
      <c r="E285">
        <v>16</v>
      </c>
      <c r="F285">
        <v>18</v>
      </c>
      <c r="G285">
        <v>17</v>
      </c>
      <c r="H285">
        <v>80575352</v>
      </c>
      <c r="I285">
        <v>86409448</v>
      </c>
      <c r="J285">
        <v>91261560</v>
      </c>
      <c r="K285">
        <v>26.263835250041101</v>
      </c>
      <c r="L285">
        <v>26.3646857293495</v>
      </c>
      <c r="M285">
        <v>26.443503979237999</v>
      </c>
      <c r="N285">
        <v>67195541.599999994</v>
      </c>
      <c r="O285">
        <v>59987293.899999999</v>
      </c>
      <c r="P285">
        <v>68653357.5</v>
      </c>
    </row>
    <row r="286" spans="1:16">
      <c r="A286">
        <v>39275.370000000003</v>
      </c>
      <c r="B286">
        <v>25</v>
      </c>
      <c r="C286" t="s">
        <v>584</v>
      </c>
      <c r="D286" t="s">
        <v>585</v>
      </c>
      <c r="E286">
        <v>24</v>
      </c>
      <c r="F286">
        <v>25</v>
      </c>
      <c r="G286">
        <v>22</v>
      </c>
      <c r="H286">
        <v>17789448</v>
      </c>
      <c r="I286">
        <v>17246840</v>
      </c>
      <c r="J286">
        <v>17953146</v>
      </c>
      <c r="K286">
        <v>24.084518409216901</v>
      </c>
      <c r="L286">
        <v>24.039828716887801</v>
      </c>
      <c r="M286">
        <v>24.0977333395081</v>
      </c>
      <c r="N286">
        <v>14022136.9</v>
      </c>
      <c r="O286">
        <v>12945342.800000001</v>
      </c>
      <c r="P286">
        <v>14126258.5</v>
      </c>
    </row>
    <row r="287" spans="1:16">
      <c r="A287">
        <v>80774.41</v>
      </c>
      <c r="B287">
        <v>72</v>
      </c>
      <c r="C287" t="s">
        <v>586</v>
      </c>
      <c r="D287" t="s">
        <v>587</v>
      </c>
      <c r="E287">
        <v>67</v>
      </c>
      <c r="F287">
        <v>72</v>
      </c>
      <c r="G287">
        <v>67</v>
      </c>
      <c r="H287">
        <v>110245872</v>
      </c>
      <c r="I287">
        <v>121209392</v>
      </c>
      <c r="J287">
        <v>114943256</v>
      </c>
      <c r="K287">
        <v>26.7161493962275</v>
      </c>
      <c r="L287">
        <v>26.852926250540499</v>
      </c>
      <c r="M287">
        <v>26.776346581216</v>
      </c>
      <c r="N287">
        <v>46288637</v>
      </c>
      <c r="O287">
        <v>47502452.299999997</v>
      </c>
      <c r="P287">
        <v>48375055.399999999</v>
      </c>
    </row>
    <row r="288" spans="1:16">
      <c r="A288">
        <v>21221.32</v>
      </c>
      <c r="B288">
        <v>18</v>
      </c>
      <c r="C288" t="s">
        <v>588</v>
      </c>
      <c r="D288" t="s">
        <v>589</v>
      </c>
      <c r="E288">
        <v>17</v>
      </c>
      <c r="F288">
        <v>18</v>
      </c>
      <c r="G288">
        <v>16</v>
      </c>
      <c r="H288">
        <v>30897120</v>
      </c>
      <c r="I288">
        <v>35023304</v>
      </c>
      <c r="J288">
        <v>37579276</v>
      </c>
      <c r="K288">
        <v>24.880969031293901</v>
      </c>
      <c r="L288">
        <v>25.0618118541957</v>
      </c>
      <c r="M288">
        <v>25.163433936364001</v>
      </c>
      <c r="N288">
        <v>14945935.4</v>
      </c>
      <c r="O288">
        <v>14765336.699999999</v>
      </c>
      <c r="P288">
        <v>14855292.199999999</v>
      </c>
    </row>
    <row r="289" spans="1:16">
      <c r="A289">
        <v>23347.14</v>
      </c>
      <c r="B289">
        <v>15</v>
      </c>
      <c r="C289" t="s">
        <v>590</v>
      </c>
      <c r="D289" t="s">
        <v>591</v>
      </c>
      <c r="E289">
        <v>15</v>
      </c>
      <c r="F289">
        <v>15</v>
      </c>
      <c r="G289">
        <v>15</v>
      </c>
      <c r="H289">
        <v>7377570</v>
      </c>
      <c r="I289">
        <v>8487005</v>
      </c>
      <c r="J289">
        <v>8239544</v>
      </c>
      <c r="K289">
        <v>22.8147142736529</v>
      </c>
      <c r="L289">
        <v>23.016824096723301</v>
      </c>
      <c r="M289">
        <v>22.974133066059998</v>
      </c>
      <c r="N289">
        <v>3525658.9</v>
      </c>
      <c r="O289">
        <v>3700080.9</v>
      </c>
      <c r="P289">
        <v>3624167.6</v>
      </c>
    </row>
    <row r="290" spans="1:16">
      <c r="A290">
        <v>23060.43</v>
      </c>
      <c r="B290">
        <v>4</v>
      </c>
      <c r="C290" t="s">
        <v>592</v>
      </c>
      <c r="D290" t="s">
        <v>593</v>
      </c>
      <c r="E290">
        <v>2</v>
      </c>
      <c r="F290">
        <v>4</v>
      </c>
      <c r="G290">
        <v>2</v>
      </c>
      <c r="H290">
        <v>40319.23046875</v>
      </c>
      <c r="I290">
        <v>29914.447265625</v>
      </c>
      <c r="J290">
        <v>35534.83984375</v>
      </c>
      <c r="K290">
        <v>15.299180483429099</v>
      </c>
      <c r="L290">
        <v>14.868554785864699</v>
      </c>
      <c r="M290">
        <v>15.116946576607299</v>
      </c>
      <c r="N290">
        <v>3285.4</v>
      </c>
      <c r="O290">
        <v>9778.2999999999993</v>
      </c>
      <c r="P290">
        <v>8631.7000000000007</v>
      </c>
    </row>
    <row r="291" spans="1:16">
      <c r="A291">
        <v>47387.32</v>
      </c>
      <c r="B291">
        <v>17</v>
      </c>
      <c r="C291" t="s">
        <v>594</v>
      </c>
      <c r="D291" t="s">
        <v>595</v>
      </c>
      <c r="E291">
        <v>16</v>
      </c>
      <c r="F291">
        <v>16</v>
      </c>
      <c r="G291">
        <v>17</v>
      </c>
      <c r="H291">
        <v>5206746</v>
      </c>
      <c r="I291">
        <v>4613827</v>
      </c>
      <c r="J291">
        <v>4525958.5</v>
      </c>
      <c r="K291">
        <v>22.311950598967901</v>
      </c>
      <c r="L291">
        <v>22.137532479083799</v>
      </c>
      <c r="M291">
        <v>22.109791925444899</v>
      </c>
      <c r="N291">
        <v>2529314.1</v>
      </c>
      <c r="O291">
        <v>2389797.7999999998</v>
      </c>
      <c r="P291">
        <v>2299682.5</v>
      </c>
    </row>
    <row r="292" spans="1:16">
      <c r="A292">
        <v>5530.31</v>
      </c>
      <c r="B292">
        <v>4</v>
      </c>
      <c r="C292" t="s">
        <v>596</v>
      </c>
      <c r="D292" t="s">
        <v>597</v>
      </c>
      <c r="E292">
        <v>4</v>
      </c>
      <c r="F292">
        <v>4</v>
      </c>
      <c r="G292">
        <v>4</v>
      </c>
      <c r="H292">
        <v>750913.875</v>
      </c>
      <c r="I292">
        <v>633407.125</v>
      </c>
      <c r="J292">
        <v>757532.375</v>
      </c>
      <c r="K292">
        <v>19.5182879238067</v>
      </c>
      <c r="L292">
        <v>19.272773570322499</v>
      </c>
      <c r="M292">
        <v>19.530948021443301</v>
      </c>
      <c r="N292">
        <v>784487.2</v>
      </c>
      <c r="O292">
        <v>643921.69999999995</v>
      </c>
      <c r="P292">
        <v>772212.8</v>
      </c>
    </row>
    <row r="293" spans="1:16">
      <c r="A293">
        <v>68497.960000000006</v>
      </c>
      <c r="B293">
        <v>33</v>
      </c>
      <c r="C293" t="s">
        <v>598</v>
      </c>
      <c r="D293" t="s">
        <v>599</v>
      </c>
      <c r="E293">
        <v>33</v>
      </c>
      <c r="F293">
        <v>33</v>
      </c>
      <c r="G293">
        <v>31</v>
      </c>
      <c r="H293">
        <v>33959364</v>
      </c>
      <c r="I293">
        <v>34513224</v>
      </c>
      <c r="J293">
        <v>33410562</v>
      </c>
      <c r="K293">
        <v>25.017306104179099</v>
      </c>
      <c r="L293">
        <v>25.040645911429099</v>
      </c>
      <c r="M293">
        <v>24.993800914702199</v>
      </c>
      <c r="N293">
        <v>10225496.300000001</v>
      </c>
      <c r="O293">
        <v>10551061.300000001</v>
      </c>
      <c r="P293">
        <v>10278344.6</v>
      </c>
    </row>
    <row r="294" spans="1:16">
      <c r="A294">
        <v>36143.11</v>
      </c>
      <c r="B294">
        <v>9</v>
      </c>
      <c r="C294" t="s">
        <v>600</v>
      </c>
      <c r="D294" t="s">
        <v>601</v>
      </c>
      <c r="E294">
        <v>8</v>
      </c>
      <c r="F294">
        <v>8</v>
      </c>
      <c r="G294">
        <v>8</v>
      </c>
      <c r="H294">
        <v>26417598</v>
      </c>
      <c r="I294">
        <v>18795698</v>
      </c>
      <c r="J294">
        <v>24431768</v>
      </c>
      <c r="K294">
        <v>24.6549959608104</v>
      </c>
      <c r="L294">
        <v>24.163899156737401</v>
      </c>
      <c r="M294">
        <v>24.542254931932099</v>
      </c>
      <c r="N294">
        <v>7744924</v>
      </c>
      <c r="O294">
        <v>5658528.9000000004</v>
      </c>
      <c r="P294">
        <v>7301913.4000000004</v>
      </c>
    </row>
    <row r="295" spans="1:16">
      <c r="A295">
        <v>25263.07</v>
      </c>
      <c r="B295">
        <v>21</v>
      </c>
      <c r="C295" t="s">
        <v>602</v>
      </c>
      <c r="D295" t="s">
        <v>603</v>
      </c>
      <c r="E295">
        <v>20</v>
      </c>
      <c r="F295">
        <v>21</v>
      </c>
      <c r="G295">
        <v>19</v>
      </c>
      <c r="H295">
        <v>79080376</v>
      </c>
      <c r="I295">
        <v>81037864</v>
      </c>
      <c r="J295">
        <v>78579024</v>
      </c>
      <c r="K295">
        <v>26.2368163948138</v>
      </c>
      <c r="L295">
        <v>26.272092812224901</v>
      </c>
      <c r="M295">
        <v>26.227640912956101</v>
      </c>
      <c r="N295">
        <v>38105975.799999997</v>
      </c>
      <c r="O295">
        <v>37316731.299999997</v>
      </c>
      <c r="P295">
        <v>37049855.5</v>
      </c>
    </row>
    <row r="296" spans="1:16">
      <c r="A296">
        <v>11480.48</v>
      </c>
      <c r="B296">
        <v>1</v>
      </c>
      <c r="C296" t="s">
        <v>604</v>
      </c>
      <c r="D296" t="s">
        <v>605</v>
      </c>
      <c r="E296">
        <v>1</v>
      </c>
      <c r="F296">
        <v>1</v>
      </c>
      <c r="G296">
        <v>1</v>
      </c>
      <c r="H296">
        <v>1918369.125</v>
      </c>
      <c r="I296">
        <v>1929207.625</v>
      </c>
      <c r="J296">
        <v>1572426.75</v>
      </c>
      <c r="K296">
        <v>20.8714489140647</v>
      </c>
      <c r="L296">
        <v>20.8795769866556</v>
      </c>
      <c r="M296">
        <v>20.584561381421899</v>
      </c>
      <c r="N296">
        <v>639456.4</v>
      </c>
      <c r="O296">
        <v>643069.19999999995</v>
      </c>
      <c r="P296">
        <v>524142.2</v>
      </c>
    </row>
    <row r="297" spans="1:16">
      <c r="A297">
        <v>44369.1</v>
      </c>
      <c r="B297">
        <v>36</v>
      </c>
      <c r="C297" t="s">
        <v>606</v>
      </c>
      <c r="D297" t="s">
        <v>607</v>
      </c>
      <c r="E297">
        <v>35</v>
      </c>
      <c r="F297">
        <v>36</v>
      </c>
      <c r="G297">
        <v>35</v>
      </c>
      <c r="H297">
        <v>141209120</v>
      </c>
      <c r="I297">
        <v>158183216</v>
      </c>
      <c r="J297">
        <v>148555952</v>
      </c>
      <c r="K297">
        <v>27.073258027268</v>
      </c>
      <c r="L297">
        <v>27.237021290147599</v>
      </c>
      <c r="M297">
        <v>27.146431168034301</v>
      </c>
      <c r="N297">
        <v>58468716.399999999</v>
      </c>
      <c r="O297">
        <v>55474422.5</v>
      </c>
      <c r="P297">
        <v>55812556</v>
      </c>
    </row>
    <row r="298" spans="1:16">
      <c r="A298">
        <v>36985.4</v>
      </c>
      <c r="B298">
        <v>38</v>
      </c>
      <c r="C298" t="s">
        <v>608</v>
      </c>
      <c r="D298" t="s">
        <v>609</v>
      </c>
      <c r="E298">
        <v>35</v>
      </c>
      <c r="F298">
        <v>38</v>
      </c>
      <c r="G298">
        <v>36</v>
      </c>
      <c r="H298">
        <v>478283872</v>
      </c>
      <c r="I298">
        <v>521631232</v>
      </c>
      <c r="J298">
        <v>519383904</v>
      </c>
      <c r="K298">
        <v>28.833291902758599</v>
      </c>
      <c r="L298">
        <v>28.9584550107664</v>
      </c>
      <c r="M298">
        <v>28.952226063875301</v>
      </c>
      <c r="N298">
        <v>218366415.5</v>
      </c>
      <c r="O298">
        <v>238704137.90000001</v>
      </c>
      <c r="P298">
        <v>248815462.19999999</v>
      </c>
    </row>
    <row r="299" spans="1:16">
      <c r="A299">
        <v>36790.58</v>
      </c>
      <c r="B299">
        <v>15</v>
      </c>
      <c r="C299" t="s">
        <v>610</v>
      </c>
      <c r="D299" t="s">
        <v>611</v>
      </c>
      <c r="E299">
        <v>15</v>
      </c>
      <c r="F299">
        <v>15</v>
      </c>
      <c r="G299">
        <v>15</v>
      </c>
      <c r="H299">
        <v>3953734.75</v>
      </c>
      <c r="I299">
        <v>4892343</v>
      </c>
      <c r="J299">
        <v>3914462.5</v>
      </c>
      <c r="K299">
        <v>21.9147846554404</v>
      </c>
      <c r="L299">
        <v>22.222094123445299</v>
      </c>
      <c r="M299">
        <v>21.900382792084098</v>
      </c>
      <c r="N299">
        <v>1395434.2</v>
      </c>
      <c r="O299">
        <v>1901437.4</v>
      </c>
      <c r="P299">
        <v>1563922.4</v>
      </c>
    </row>
    <row r="300" spans="1:16">
      <c r="A300">
        <v>46337.31</v>
      </c>
      <c r="B300">
        <v>13</v>
      </c>
      <c r="C300" t="s">
        <v>612</v>
      </c>
      <c r="D300" t="s">
        <v>613</v>
      </c>
      <c r="E300">
        <v>13</v>
      </c>
      <c r="F300">
        <v>13</v>
      </c>
      <c r="G300">
        <v>13</v>
      </c>
      <c r="H300">
        <v>817112</v>
      </c>
      <c r="I300">
        <v>779265.4375</v>
      </c>
      <c r="J300">
        <v>827082.25</v>
      </c>
      <c r="K300">
        <v>19.640174313848402</v>
      </c>
      <c r="L300">
        <v>19.571755304825199</v>
      </c>
      <c r="M300">
        <v>19.657671281181202</v>
      </c>
      <c r="N300">
        <v>246596.6</v>
      </c>
      <c r="O300">
        <v>241171.4</v>
      </c>
      <c r="P300">
        <v>262019</v>
      </c>
    </row>
    <row r="301" spans="1:16">
      <c r="A301">
        <v>31301.360000000001</v>
      </c>
      <c r="B301">
        <v>21</v>
      </c>
      <c r="C301" t="s">
        <v>614</v>
      </c>
      <c r="D301" t="s">
        <v>615</v>
      </c>
      <c r="E301">
        <v>19</v>
      </c>
      <c r="F301">
        <v>20</v>
      </c>
      <c r="G301">
        <v>20</v>
      </c>
      <c r="H301">
        <v>13562031</v>
      </c>
      <c r="I301">
        <v>12527511</v>
      </c>
      <c r="J301">
        <v>13297068</v>
      </c>
      <c r="K301">
        <v>23.6930699115807</v>
      </c>
      <c r="L301">
        <v>23.578596468763099</v>
      </c>
      <c r="M301">
        <v>23.664604831127399</v>
      </c>
      <c r="N301">
        <v>5210083.4000000004</v>
      </c>
      <c r="O301">
        <v>4818967.5999999996</v>
      </c>
      <c r="P301">
        <v>5254180.8</v>
      </c>
    </row>
    <row r="302" spans="1:16">
      <c r="A302">
        <v>105668.03</v>
      </c>
      <c r="B302">
        <v>58</v>
      </c>
      <c r="C302" t="s">
        <v>616</v>
      </c>
      <c r="D302" t="s">
        <v>617</v>
      </c>
      <c r="E302">
        <v>56</v>
      </c>
      <c r="F302">
        <v>58</v>
      </c>
      <c r="G302">
        <v>57</v>
      </c>
      <c r="H302">
        <v>8060877</v>
      </c>
      <c r="I302">
        <v>7966147.5</v>
      </c>
      <c r="J302">
        <v>7850148.5</v>
      </c>
      <c r="K302">
        <v>22.942505377645698</v>
      </c>
      <c r="L302">
        <v>22.925450761999901</v>
      </c>
      <c r="M302">
        <v>22.9042885148172</v>
      </c>
      <c r="N302">
        <v>4192214.6</v>
      </c>
      <c r="O302">
        <v>4289372.9000000004</v>
      </c>
      <c r="P302">
        <v>4323591.3</v>
      </c>
    </row>
    <row r="303" spans="1:16">
      <c r="A303">
        <v>115892.92</v>
      </c>
      <c r="B303">
        <v>48</v>
      </c>
      <c r="C303" t="s">
        <v>618</v>
      </c>
      <c r="D303" t="s">
        <v>619</v>
      </c>
      <c r="E303">
        <v>48</v>
      </c>
      <c r="F303">
        <v>48</v>
      </c>
      <c r="G303">
        <v>48</v>
      </c>
      <c r="H303">
        <v>3586756.5</v>
      </c>
      <c r="I303">
        <v>3622579</v>
      </c>
      <c r="J303">
        <v>3363775.5</v>
      </c>
      <c r="K303">
        <v>21.774248375348101</v>
      </c>
      <c r="L303">
        <v>21.7885857212638</v>
      </c>
      <c r="M303">
        <v>21.681649991966999</v>
      </c>
      <c r="N303">
        <v>910745.1</v>
      </c>
      <c r="O303">
        <v>916617</v>
      </c>
      <c r="P303">
        <v>875266</v>
      </c>
    </row>
    <row r="304" spans="1:16">
      <c r="A304">
        <v>47081.98</v>
      </c>
      <c r="B304">
        <v>19</v>
      </c>
      <c r="C304" t="s">
        <v>620</v>
      </c>
      <c r="D304" t="s">
        <v>621</v>
      </c>
      <c r="E304">
        <v>19</v>
      </c>
      <c r="F304">
        <v>19</v>
      </c>
      <c r="G304">
        <v>19</v>
      </c>
      <c r="H304">
        <v>13440595</v>
      </c>
      <c r="I304">
        <v>14286070</v>
      </c>
      <c r="J304">
        <v>13839327</v>
      </c>
      <c r="K304">
        <v>23.6800936702261</v>
      </c>
      <c r="L304">
        <v>23.7681057597005</v>
      </c>
      <c r="M304">
        <v>23.722270451306802</v>
      </c>
      <c r="N304">
        <v>3367807.7</v>
      </c>
      <c r="O304">
        <v>3781304.4</v>
      </c>
      <c r="P304">
        <v>3734006.5</v>
      </c>
    </row>
    <row r="305" spans="1:16">
      <c r="A305">
        <v>39994.54</v>
      </c>
      <c r="B305">
        <v>22</v>
      </c>
      <c r="C305" t="s">
        <v>622</v>
      </c>
      <c r="D305" t="s">
        <v>623</v>
      </c>
      <c r="E305">
        <v>21</v>
      </c>
      <c r="F305">
        <v>22</v>
      </c>
      <c r="G305">
        <v>21</v>
      </c>
      <c r="H305">
        <v>21376816</v>
      </c>
      <c r="I305">
        <v>23469344</v>
      </c>
      <c r="J305">
        <v>23917390</v>
      </c>
      <c r="K305">
        <v>24.349543649024401</v>
      </c>
      <c r="L305">
        <v>24.484274181352799</v>
      </c>
      <c r="M305">
        <v>24.511556627346899</v>
      </c>
      <c r="N305">
        <v>7778686.0999999996</v>
      </c>
      <c r="O305">
        <v>7177011.2999999998</v>
      </c>
      <c r="P305">
        <v>7465241.0999999996</v>
      </c>
    </row>
    <row r="306" spans="1:16">
      <c r="A306">
        <v>22884.240000000002</v>
      </c>
      <c r="B306">
        <v>17</v>
      </c>
      <c r="C306" t="s">
        <v>624</v>
      </c>
      <c r="D306" t="s">
        <v>625</v>
      </c>
      <c r="E306">
        <v>17</v>
      </c>
      <c r="F306">
        <v>17</v>
      </c>
      <c r="G306">
        <v>17</v>
      </c>
      <c r="H306">
        <v>27961336</v>
      </c>
      <c r="I306">
        <v>27134554</v>
      </c>
      <c r="J306">
        <v>27221268</v>
      </c>
      <c r="K306">
        <v>24.7369299589208</v>
      </c>
      <c r="L306">
        <v>24.693627860075299</v>
      </c>
      <c r="M306">
        <v>24.698230935120399</v>
      </c>
      <c r="N306">
        <v>16685398.9</v>
      </c>
      <c r="O306">
        <v>16306655</v>
      </c>
      <c r="P306">
        <v>16583009.4</v>
      </c>
    </row>
    <row r="307" spans="1:16">
      <c r="A307">
        <v>31738.54</v>
      </c>
      <c r="B307">
        <v>26</v>
      </c>
      <c r="C307" t="s">
        <v>626</v>
      </c>
      <c r="D307" t="s">
        <v>627</v>
      </c>
      <c r="E307">
        <v>25</v>
      </c>
      <c r="F307">
        <v>26</v>
      </c>
      <c r="G307">
        <v>25</v>
      </c>
      <c r="H307">
        <v>196712512</v>
      </c>
      <c r="I307">
        <v>209167520</v>
      </c>
      <c r="J307">
        <v>191457408</v>
      </c>
      <c r="K307">
        <v>27.551513482990199</v>
      </c>
      <c r="L307">
        <v>27.640083603164999</v>
      </c>
      <c r="M307">
        <v>27.512448242102799</v>
      </c>
      <c r="N307">
        <v>84344660.299999997</v>
      </c>
      <c r="O307">
        <v>90739331.700000003</v>
      </c>
      <c r="P307">
        <v>94737905.799999997</v>
      </c>
    </row>
    <row r="308" spans="1:16">
      <c r="A308">
        <v>31771.98</v>
      </c>
      <c r="B308">
        <v>18</v>
      </c>
      <c r="C308" t="s">
        <v>628</v>
      </c>
      <c r="D308" t="s">
        <v>629</v>
      </c>
      <c r="E308">
        <v>17</v>
      </c>
      <c r="F308">
        <v>18</v>
      </c>
      <c r="G308">
        <v>17</v>
      </c>
      <c r="H308">
        <v>29351736</v>
      </c>
      <c r="I308">
        <v>37936752</v>
      </c>
      <c r="J308">
        <v>35858384</v>
      </c>
      <c r="K308">
        <v>24.806942497854301</v>
      </c>
      <c r="L308">
        <v>25.177092830201801</v>
      </c>
      <c r="M308">
        <v>25.095807137144</v>
      </c>
      <c r="N308">
        <v>23964461.199999999</v>
      </c>
      <c r="O308">
        <v>29172546.199999999</v>
      </c>
      <c r="P308">
        <v>27141781.899999999</v>
      </c>
    </row>
    <row r="309" spans="1:16">
      <c r="A309">
        <v>17855.84</v>
      </c>
      <c r="B309">
        <v>4</v>
      </c>
      <c r="C309" t="s">
        <v>630</v>
      </c>
      <c r="D309" t="s">
        <v>631</v>
      </c>
      <c r="E309">
        <v>4</v>
      </c>
      <c r="F309">
        <v>4</v>
      </c>
      <c r="G309">
        <v>4</v>
      </c>
      <c r="H309">
        <v>7513710</v>
      </c>
      <c r="I309">
        <v>8461679</v>
      </c>
      <c r="J309">
        <v>6516601</v>
      </c>
      <c r="K309">
        <v>22.8410940039576</v>
      </c>
      <c r="L309">
        <v>23.0125125263618</v>
      </c>
      <c r="M309">
        <v>22.635688233306599</v>
      </c>
      <c r="N309">
        <v>3579471.8</v>
      </c>
      <c r="O309">
        <v>4130748.4</v>
      </c>
      <c r="P309">
        <v>3880262.9</v>
      </c>
    </row>
    <row r="310" spans="1:16">
      <c r="A310">
        <v>8308.64</v>
      </c>
      <c r="B310">
        <v>3</v>
      </c>
      <c r="C310" t="s">
        <v>632</v>
      </c>
      <c r="D310" t="s">
        <v>633</v>
      </c>
      <c r="E310">
        <v>3</v>
      </c>
      <c r="F310">
        <v>3</v>
      </c>
      <c r="G310">
        <v>3</v>
      </c>
      <c r="H310">
        <v>1708290.125</v>
      </c>
      <c r="I310">
        <v>1272047.375</v>
      </c>
      <c r="J310">
        <v>1289586.625</v>
      </c>
      <c r="K310">
        <v>20.7041215831314</v>
      </c>
      <c r="L310">
        <v>20.278720971396702</v>
      </c>
      <c r="M310">
        <v>20.298477255410099</v>
      </c>
      <c r="N310">
        <v>1383975.5</v>
      </c>
      <c r="O310">
        <v>822341.5</v>
      </c>
      <c r="P310">
        <v>1042284.8</v>
      </c>
    </row>
    <row r="311" spans="1:16">
      <c r="A311">
        <v>93149.34</v>
      </c>
      <c r="B311">
        <v>51</v>
      </c>
      <c r="C311" t="s">
        <v>634</v>
      </c>
      <c r="D311" t="s">
        <v>635</v>
      </c>
      <c r="E311">
        <v>49</v>
      </c>
      <c r="F311">
        <v>51</v>
      </c>
      <c r="G311">
        <v>48</v>
      </c>
      <c r="H311">
        <v>10999124</v>
      </c>
      <c r="I311">
        <v>11051396</v>
      </c>
      <c r="J311">
        <v>10751299</v>
      </c>
      <c r="K311">
        <v>23.390885292399499</v>
      </c>
      <c r="L311">
        <v>23.397725284965599</v>
      </c>
      <c r="M311">
        <v>23.358007644736801</v>
      </c>
      <c r="N311">
        <v>4344676.0999999996</v>
      </c>
      <c r="O311">
        <v>4150878.2</v>
      </c>
      <c r="P311">
        <v>4309812.3</v>
      </c>
    </row>
    <row r="312" spans="1:16">
      <c r="A312">
        <v>105142.8</v>
      </c>
      <c r="B312">
        <v>49</v>
      </c>
      <c r="C312" t="s">
        <v>636</v>
      </c>
      <c r="D312" t="s">
        <v>637</v>
      </c>
      <c r="E312">
        <v>49</v>
      </c>
      <c r="F312">
        <v>49</v>
      </c>
      <c r="G312">
        <v>49</v>
      </c>
      <c r="H312">
        <v>15470138</v>
      </c>
      <c r="I312">
        <v>15287033</v>
      </c>
      <c r="J312">
        <v>15230079</v>
      </c>
      <c r="K312">
        <v>23.882982730489601</v>
      </c>
      <c r="L312">
        <v>23.865805091083502</v>
      </c>
      <c r="M312">
        <v>23.860420089464998</v>
      </c>
      <c r="N312">
        <v>3725823.2</v>
      </c>
      <c r="O312">
        <v>3730926.1</v>
      </c>
      <c r="P312">
        <v>3839264.7</v>
      </c>
    </row>
    <row r="313" spans="1:16">
      <c r="A313">
        <v>14610.98</v>
      </c>
      <c r="B313">
        <v>11</v>
      </c>
      <c r="C313" t="s">
        <v>638</v>
      </c>
      <c r="D313" t="s">
        <v>639</v>
      </c>
      <c r="E313">
        <v>11</v>
      </c>
      <c r="F313">
        <v>11</v>
      </c>
      <c r="G313">
        <v>11</v>
      </c>
      <c r="H313">
        <v>97819160</v>
      </c>
      <c r="I313">
        <v>85700488</v>
      </c>
      <c r="J313">
        <v>84547544</v>
      </c>
      <c r="K313">
        <v>26.5436137401217</v>
      </c>
      <c r="L313">
        <v>26.352800083638801</v>
      </c>
      <c r="M313">
        <v>26.3332595109759</v>
      </c>
      <c r="N313">
        <v>106904408.09999999</v>
      </c>
      <c r="O313">
        <v>70428239.900000006</v>
      </c>
      <c r="P313">
        <v>104197819.7</v>
      </c>
    </row>
    <row r="314" spans="1:16">
      <c r="A314">
        <v>17151.93</v>
      </c>
      <c r="B314">
        <v>17</v>
      </c>
      <c r="C314" t="s">
        <v>640</v>
      </c>
      <c r="D314" t="s">
        <v>641</v>
      </c>
      <c r="E314">
        <v>15</v>
      </c>
      <c r="F314">
        <v>17</v>
      </c>
      <c r="G314">
        <v>15</v>
      </c>
      <c r="H314">
        <v>183538448</v>
      </c>
      <c r="I314">
        <v>221843856</v>
      </c>
      <c r="J314">
        <v>182361040</v>
      </c>
      <c r="K314">
        <v>27.451507072459801</v>
      </c>
      <c r="L314">
        <v>27.724969357147302</v>
      </c>
      <c r="M314">
        <v>27.442222301087799</v>
      </c>
      <c r="N314">
        <v>70209410.400000006</v>
      </c>
      <c r="O314">
        <v>71739896.099999994</v>
      </c>
      <c r="P314">
        <v>74223916.5</v>
      </c>
    </row>
    <row r="315" spans="1:16">
      <c r="A315">
        <v>159704.9</v>
      </c>
      <c r="B315">
        <v>56</v>
      </c>
      <c r="C315" t="s">
        <v>642</v>
      </c>
      <c r="D315" t="s">
        <v>643</v>
      </c>
      <c r="E315">
        <v>55</v>
      </c>
      <c r="F315">
        <v>56</v>
      </c>
      <c r="G315">
        <v>54</v>
      </c>
      <c r="H315">
        <v>7571447.5</v>
      </c>
      <c r="I315">
        <v>7023778.5</v>
      </c>
      <c r="J315">
        <v>7394181</v>
      </c>
      <c r="K315">
        <v>22.8521377085628</v>
      </c>
      <c r="L315">
        <v>22.743815918469899</v>
      </c>
      <c r="M315">
        <v>22.817958928592599</v>
      </c>
      <c r="N315">
        <v>1835738.6</v>
      </c>
      <c r="O315">
        <v>1679420.8</v>
      </c>
      <c r="P315">
        <v>1826170.3</v>
      </c>
    </row>
    <row r="316" spans="1:16">
      <c r="A316">
        <v>29441.41</v>
      </c>
      <c r="B316">
        <v>5</v>
      </c>
      <c r="C316" t="s">
        <v>644</v>
      </c>
      <c r="D316" t="s">
        <v>645</v>
      </c>
      <c r="E316">
        <v>4</v>
      </c>
      <c r="F316">
        <v>5</v>
      </c>
      <c r="G316">
        <v>4</v>
      </c>
      <c r="H316">
        <v>8162972</v>
      </c>
      <c r="I316">
        <v>7851361.5</v>
      </c>
      <c r="J316">
        <v>7699932</v>
      </c>
      <c r="K316">
        <v>22.9606630780196</v>
      </c>
      <c r="L316">
        <v>22.9045114219246</v>
      </c>
      <c r="M316">
        <v>22.876414274391902</v>
      </c>
      <c r="N316">
        <v>2399446.5</v>
      </c>
      <c r="O316">
        <v>2288747.4</v>
      </c>
      <c r="P316">
        <v>2360212.2999999998</v>
      </c>
    </row>
    <row r="317" spans="1:16">
      <c r="A317">
        <v>37883.33</v>
      </c>
      <c r="B317">
        <v>9</v>
      </c>
      <c r="C317" t="s">
        <v>646</v>
      </c>
      <c r="D317" t="s">
        <v>647</v>
      </c>
      <c r="E317">
        <v>8</v>
      </c>
      <c r="F317">
        <v>9</v>
      </c>
      <c r="G317">
        <v>9</v>
      </c>
      <c r="H317">
        <v>25669708</v>
      </c>
      <c r="I317">
        <v>27705640</v>
      </c>
      <c r="J317">
        <v>22408616</v>
      </c>
      <c r="K317">
        <v>24.613563549164599</v>
      </c>
      <c r="L317">
        <v>24.723676357878599</v>
      </c>
      <c r="M317">
        <v>24.417550212140799</v>
      </c>
      <c r="N317">
        <v>12571157.1</v>
      </c>
      <c r="O317">
        <v>15109358.5</v>
      </c>
      <c r="P317">
        <v>13617067.800000001</v>
      </c>
    </row>
    <row r="318" spans="1:16">
      <c r="A318">
        <v>34420.14</v>
      </c>
      <c r="B318">
        <v>34</v>
      </c>
      <c r="C318" t="s">
        <v>648</v>
      </c>
      <c r="D318" t="s">
        <v>649</v>
      </c>
      <c r="E318">
        <v>31</v>
      </c>
      <c r="F318">
        <v>34</v>
      </c>
      <c r="G318">
        <v>32</v>
      </c>
      <c r="H318">
        <v>70505536</v>
      </c>
      <c r="I318">
        <v>69540704</v>
      </c>
      <c r="J318">
        <v>67662296</v>
      </c>
      <c r="K318">
        <v>26.071233204647498</v>
      </c>
      <c r="L318">
        <v>26.0513543365714</v>
      </c>
      <c r="M318">
        <v>26.011848797471298</v>
      </c>
      <c r="N318">
        <v>43545425.200000003</v>
      </c>
      <c r="O318">
        <v>38860243.100000001</v>
      </c>
      <c r="P318">
        <v>39094053</v>
      </c>
    </row>
    <row r="319" spans="1:16">
      <c r="A319">
        <v>46198.400000000001</v>
      </c>
      <c r="B319">
        <v>35</v>
      </c>
      <c r="C319" t="s">
        <v>650</v>
      </c>
      <c r="D319" t="s">
        <v>651</v>
      </c>
      <c r="E319">
        <v>34</v>
      </c>
      <c r="F319">
        <v>35</v>
      </c>
      <c r="G319">
        <v>34</v>
      </c>
      <c r="H319">
        <v>38168240</v>
      </c>
      <c r="I319">
        <v>40160208</v>
      </c>
      <c r="J319">
        <v>39479432</v>
      </c>
      <c r="K319">
        <v>25.1858693272697</v>
      </c>
      <c r="L319">
        <v>25.2592634056065</v>
      </c>
      <c r="M319">
        <v>25.234597897757599</v>
      </c>
      <c r="N319">
        <v>26684498.199999999</v>
      </c>
      <c r="O319">
        <v>25904363.399999999</v>
      </c>
      <c r="P319">
        <v>26150049</v>
      </c>
    </row>
    <row r="320" spans="1:16">
      <c r="A320">
        <v>13896.08</v>
      </c>
      <c r="B320">
        <v>14</v>
      </c>
      <c r="C320" t="s">
        <v>652</v>
      </c>
      <c r="D320" t="s">
        <v>653</v>
      </c>
      <c r="E320">
        <v>14</v>
      </c>
      <c r="F320">
        <v>13</v>
      </c>
      <c r="G320">
        <v>14</v>
      </c>
      <c r="H320">
        <v>32922760</v>
      </c>
      <c r="I320">
        <v>33674136</v>
      </c>
      <c r="J320">
        <v>30513008</v>
      </c>
      <c r="K320">
        <v>24.972581949892199</v>
      </c>
      <c r="L320">
        <v>25.0051375941751</v>
      </c>
      <c r="M320">
        <v>24.862921073324198</v>
      </c>
      <c r="N320">
        <v>29265625.899999999</v>
      </c>
      <c r="O320">
        <v>30755837.399999999</v>
      </c>
      <c r="P320">
        <v>26895546.100000001</v>
      </c>
    </row>
    <row r="321" spans="1:16">
      <c r="A321">
        <v>34996.22</v>
      </c>
      <c r="B321">
        <v>26</v>
      </c>
      <c r="C321" t="s">
        <v>654</v>
      </c>
      <c r="D321" t="s">
        <v>655</v>
      </c>
      <c r="E321">
        <v>26</v>
      </c>
      <c r="F321">
        <v>26</v>
      </c>
      <c r="G321">
        <v>26</v>
      </c>
      <c r="H321">
        <v>204440896</v>
      </c>
      <c r="I321">
        <v>220345056</v>
      </c>
      <c r="J321">
        <v>201213664</v>
      </c>
      <c r="K321">
        <v>27.607108578441</v>
      </c>
      <c r="L321">
        <v>27.715189285556299</v>
      </c>
      <c r="M321">
        <v>27.5841530379783</v>
      </c>
      <c r="N321">
        <v>123895187.3</v>
      </c>
      <c r="O321">
        <v>115440167.09999999</v>
      </c>
      <c r="P321">
        <v>119943129.3</v>
      </c>
    </row>
    <row r="322" spans="1:16">
      <c r="A322">
        <v>13563.7</v>
      </c>
      <c r="B322">
        <v>9</v>
      </c>
      <c r="C322" t="s">
        <v>656</v>
      </c>
      <c r="D322" t="s">
        <v>657</v>
      </c>
      <c r="E322">
        <v>9</v>
      </c>
      <c r="F322">
        <v>9</v>
      </c>
      <c r="G322">
        <v>9</v>
      </c>
      <c r="H322">
        <v>45251252</v>
      </c>
      <c r="I322">
        <v>51156224</v>
      </c>
      <c r="J322">
        <v>48464456</v>
      </c>
      <c r="K322">
        <v>25.4314543730748</v>
      </c>
      <c r="L322">
        <v>25.608406442553001</v>
      </c>
      <c r="M322">
        <v>25.530423721777399</v>
      </c>
      <c r="N322">
        <v>50760848.100000001</v>
      </c>
      <c r="O322">
        <v>54592450.200000003</v>
      </c>
      <c r="P322">
        <v>53675077.799999997</v>
      </c>
    </row>
    <row r="323" spans="1:16">
      <c r="A323">
        <v>13679</v>
      </c>
      <c r="B323">
        <v>20</v>
      </c>
      <c r="C323" t="s">
        <v>658</v>
      </c>
      <c r="D323" t="s">
        <v>659</v>
      </c>
      <c r="E323">
        <v>19</v>
      </c>
      <c r="F323">
        <v>20</v>
      </c>
      <c r="G323">
        <v>19</v>
      </c>
      <c r="H323">
        <v>256141424</v>
      </c>
      <c r="I323">
        <v>302730112</v>
      </c>
      <c r="J323">
        <v>303778816</v>
      </c>
      <c r="K323">
        <v>27.932365348100799</v>
      </c>
      <c r="L323">
        <v>28.173456943588501</v>
      </c>
      <c r="M323">
        <v>28.178446026182598</v>
      </c>
      <c r="N323">
        <v>266436194.59999999</v>
      </c>
      <c r="O323">
        <v>269563552.80000001</v>
      </c>
      <c r="P323">
        <v>287733081.89999998</v>
      </c>
    </row>
    <row r="324" spans="1:16">
      <c r="A324">
        <v>4367.3900000000003</v>
      </c>
      <c r="B324">
        <v>2</v>
      </c>
      <c r="C324" t="s">
        <v>660</v>
      </c>
      <c r="D324" t="s">
        <v>661</v>
      </c>
      <c r="E324">
        <v>2</v>
      </c>
      <c r="F324">
        <v>2</v>
      </c>
      <c r="G324">
        <v>2</v>
      </c>
      <c r="H324">
        <v>3020809</v>
      </c>
      <c r="I324">
        <v>5096631</v>
      </c>
      <c r="J324">
        <v>5607158.5</v>
      </c>
      <c r="K324">
        <v>21.526503537413799</v>
      </c>
      <c r="L324">
        <v>22.281112474119102</v>
      </c>
      <c r="M324">
        <v>22.418838420996</v>
      </c>
      <c r="N324">
        <v>20386523.100000001</v>
      </c>
      <c r="O324">
        <v>16490573</v>
      </c>
      <c r="P324">
        <v>34115792.100000001</v>
      </c>
    </row>
    <row r="325" spans="1:16">
      <c r="A325">
        <v>8417.94</v>
      </c>
      <c r="B325">
        <v>4</v>
      </c>
      <c r="C325" t="s">
        <v>662</v>
      </c>
      <c r="D325" t="s">
        <v>663</v>
      </c>
      <c r="E325">
        <v>4</v>
      </c>
      <c r="F325">
        <v>4</v>
      </c>
      <c r="G325">
        <v>4</v>
      </c>
      <c r="H325">
        <v>7851644.5</v>
      </c>
      <c r="I325">
        <v>10466471</v>
      </c>
      <c r="J325">
        <v>7909264.5</v>
      </c>
      <c r="K325">
        <v>22.9045634225029</v>
      </c>
      <c r="L325">
        <v>23.319271752228101</v>
      </c>
      <c r="M325">
        <v>22.9151121108568</v>
      </c>
      <c r="N325">
        <v>21310144.399999999</v>
      </c>
      <c r="O325">
        <v>27957198.199999999</v>
      </c>
      <c r="P325">
        <v>23582409</v>
      </c>
    </row>
    <row r="326" spans="1:16">
      <c r="A326">
        <v>28084.41</v>
      </c>
      <c r="B326">
        <v>17</v>
      </c>
      <c r="C326" t="s">
        <v>664</v>
      </c>
      <c r="D326" t="s">
        <v>665</v>
      </c>
      <c r="E326">
        <v>17</v>
      </c>
      <c r="F326">
        <v>17</v>
      </c>
      <c r="G326">
        <v>17</v>
      </c>
      <c r="H326">
        <v>15596859</v>
      </c>
      <c r="I326">
        <v>18687494</v>
      </c>
      <c r="J326">
        <v>17066416</v>
      </c>
      <c r="K326">
        <v>23.894752182953798</v>
      </c>
      <c r="L326">
        <v>24.155569780315702</v>
      </c>
      <c r="M326">
        <v>24.024656783976599</v>
      </c>
      <c r="N326">
        <v>4211663.9000000004</v>
      </c>
      <c r="O326">
        <v>4272639.5999999996</v>
      </c>
      <c r="P326">
        <v>4121774.7</v>
      </c>
    </row>
    <row r="327" spans="1:16">
      <c r="A327">
        <v>24488.37</v>
      </c>
      <c r="B327">
        <v>19</v>
      </c>
      <c r="C327" t="s">
        <v>666</v>
      </c>
      <c r="D327" t="s">
        <v>667</v>
      </c>
      <c r="E327">
        <v>18</v>
      </c>
      <c r="F327">
        <v>18</v>
      </c>
      <c r="G327">
        <v>16</v>
      </c>
      <c r="H327">
        <v>57540224</v>
      </c>
      <c r="I327">
        <v>52202708</v>
      </c>
      <c r="J327">
        <v>54403144</v>
      </c>
      <c r="K327">
        <v>25.778067501608799</v>
      </c>
      <c r="L327">
        <v>25.6376213123254</v>
      </c>
      <c r="M327">
        <v>25.697186692564699</v>
      </c>
      <c r="N327">
        <v>18011909.699999999</v>
      </c>
      <c r="O327">
        <v>20221718</v>
      </c>
      <c r="P327">
        <v>19537194.100000001</v>
      </c>
    </row>
    <row r="328" spans="1:16">
      <c r="A328">
        <v>53300.14</v>
      </c>
      <c r="B328">
        <v>12</v>
      </c>
      <c r="C328" t="s">
        <v>668</v>
      </c>
      <c r="D328" t="s">
        <v>669</v>
      </c>
      <c r="E328">
        <v>11</v>
      </c>
      <c r="F328">
        <v>12</v>
      </c>
      <c r="G328">
        <v>10</v>
      </c>
      <c r="H328">
        <v>11176997</v>
      </c>
      <c r="I328">
        <v>10674130</v>
      </c>
      <c r="J328">
        <v>11338610</v>
      </c>
      <c r="K328">
        <v>23.414029285741002</v>
      </c>
      <c r="L328">
        <v>23.347615151309299</v>
      </c>
      <c r="M328">
        <v>23.434740455371699</v>
      </c>
      <c r="N328">
        <v>2116059.2000000002</v>
      </c>
      <c r="O328">
        <v>1999009.7</v>
      </c>
      <c r="P328">
        <v>2231730.5</v>
      </c>
    </row>
    <row r="329" spans="1:16">
      <c r="A329">
        <v>15557.14</v>
      </c>
      <c r="B329">
        <v>10</v>
      </c>
      <c r="C329" t="s">
        <v>670</v>
      </c>
      <c r="D329" t="s">
        <v>671</v>
      </c>
      <c r="E329">
        <v>10</v>
      </c>
      <c r="F329">
        <v>10</v>
      </c>
      <c r="G329">
        <v>9</v>
      </c>
      <c r="H329">
        <v>37473576</v>
      </c>
      <c r="I329">
        <v>35569796</v>
      </c>
      <c r="J329">
        <v>37309932</v>
      </c>
      <c r="K329">
        <v>25.1593703208564</v>
      </c>
      <c r="L329">
        <v>25.084149364486102</v>
      </c>
      <c r="M329">
        <v>25.153056394954401</v>
      </c>
      <c r="N329">
        <v>25572673.899999999</v>
      </c>
      <c r="O329">
        <v>27594188.199999999</v>
      </c>
      <c r="P329">
        <v>28251282.699999999</v>
      </c>
    </row>
    <row r="330" spans="1:16">
      <c r="A330">
        <v>27823.23</v>
      </c>
      <c r="B330">
        <v>24</v>
      </c>
      <c r="C330" t="s">
        <v>672</v>
      </c>
      <c r="D330" t="s">
        <v>673</v>
      </c>
      <c r="E330">
        <v>23</v>
      </c>
      <c r="F330">
        <v>24</v>
      </c>
      <c r="G330">
        <v>22</v>
      </c>
      <c r="H330">
        <v>268121360</v>
      </c>
      <c r="I330">
        <v>274478112</v>
      </c>
      <c r="J330">
        <v>279329760</v>
      </c>
      <c r="K330">
        <v>27.998310915899999</v>
      </c>
      <c r="L330">
        <v>28.032115866551202</v>
      </c>
      <c r="M330">
        <v>28.057394046705902</v>
      </c>
      <c r="N330">
        <v>106380636.5</v>
      </c>
      <c r="O330">
        <v>82724352.400000006</v>
      </c>
      <c r="P330">
        <v>101998919.3</v>
      </c>
    </row>
    <row r="331" spans="1:16">
      <c r="A331">
        <v>13106.2</v>
      </c>
      <c r="B331">
        <v>12</v>
      </c>
      <c r="C331" t="s">
        <v>674</v>
      </c>
      <c r="D331" t="s">
        <v>675</v>
      </c>
      <c r="E331">
        <v>11</v>
      </c>
      <c r="F331">
        <v>12</v>
      </c>
      <c r="G331">
        <v>11</v>
      </c>
      <c r="H331">
        <v>74447744</v>
      </c>
      <c r="I331">
        <v>79992488</v>
      </c>
      <c r="J331">
        <v>69448360</v>
      </c>
      <c r="K331">
        <v>26.149724795499399</v>
      </c>
      <c r="L331">
        <v>26.253361188786499</v>
      </c>
      <c r="M331">
        <v>26.049437290055302</v>
      </c>
      <c r="N331">
        <v>35641162.299999997</v>
      </c>
      <c r="O331">
        <v>31935163.5</v>
      </c>
      <c r="P331">
        <v>32867797.5</v>
      </c>
    </row>
    <row r="332" spans="1:16">
      <c r="A332">
        <v>19731.990000000002</v>
      </c>
      <c r="B332">
        <v>20</v>
      </c>
      <c r="C332" t="s">
        <v>676</v>
      </c>
      <c r="D332" t="s">
        <v>677</v>
      </c>
      <c r="E332">
        <v>20</v>
      </c>
      <c r="F332">
        <v>20</v>
      </c>
      <c r="G332">
        <v>18</v>
      </c>
      <c r="H332">
        <v>162885520</v>
      </c>
      <c r="I332">
        <v>218979088</v>
      </c>
      <c r="J332">
        <v>189343248</v>
      </c>
      <c r="K332">
        <v>27.279283117703201</v>
      </c>
      <c r="L332">
        <v>27.706217861440301</v>
      </c>
      <c r="M332">
        <v>27.496428734582601</v>
      </c>
      <c r="N332">
        <v>88990398.5</v>
      </c>
      <c r="O332">
        <v>85224188.700000003</v>
      </c>
      <c r="P332">
        <v>85052479.599999994</v>
      </c>
    </row>
    <row r="333" spans="1:16">
      <c r="A333">
        <v>14189.67</v>
      </c>
      <c r="B333">
        <v>19</v>
      </c>
      <c r="C333" t="s">
        <v>678</v>
      </c>
      <c r="D333" t="s">
        <v>679</v>
      </c>
      <c r="E333">
        <v>17</v>
      </c>
      <c r="F333">
        <v>19</v>
      </c>
      <c r="G333">
        <v>19</v>
      </c>
      <c r="H333">
        <v>73325032</v>
      </c>
      <c r="I333">
        <v>81034120</v>
      </c>
      <c r="J333">
        <v>75000760</v>
      </c>
      <c r="K333">
        <v>26.127802459804801</v>
      </c>
      <c r="L333">
        <v>26.272026157271998</v>
      </c>
      <c r="M333">
        <v>26.160401879055701</v>
      </c>
      <c r="N333">
        <v>95301559.099999994</v>
      </c>
      <c r="O333">
        <v>94105895.5</v>
      </c>
      <c r="P333">
        <v>91849608.400000006</v>
      </c>
    </row>
    <row r="334" spans="1:16">
      <c r="A334">
        <v>7150.58</v>
      </c>
      <c r="B334">
        <v>6</v>
      </c>
      <c r="C334" t="s">
        <v>680</v>
      </c>
      <c r="D334" t="s">
        <v>681</v>
      </c>
      <c r="E334">
        <v>6</v>
      </c>
      <c r="F334">
        <v>6</v>
      </c>
      <c r="G334">
        <v>5</v>
      </c>
      <c r="H334">
        <v>24180440</v>
      </c>
      <c r="I334">
        <v>26669582</v>
      </c>
      <c r="J334">
        <v>27875506</v>
      </c>
      <c r="K334">
        <v>24.5273371610749</v>
      </c>
      <c r="L334">
        <v>24.668691877504799</v>
      </c>
      <c r="M334">
        <v>24.732494657479901</v>
      </c>
      <c r="N334">
        <v>147061511.59999999</v>
      </c>
      <c r="O334">
        <v>159828134</v>
      </c>
      <c r="P334">
        <v>171477112.69999999</v>
      </c>
    </row>
    <row r="335" spans="1:16">
      <c r="A335">
        <v>20316.14</v>
      </c>
      <c r="B335">
        <v>22</v>
      </c>
      <c r="C335" t="s">
        <v>682</v>
      </c>
      <c r="D335" t="s">
        <v>683</v>
      </c>
      <c r="E335">
        <v>21</v>
      </c>
      <c r="F335">
        <v>22</v>
      </c>
      <c r="G335">
        <v>20</v>
      </c>
      <c r="H335">
        <v>288941568</v>
      </c>
      <c r="I335">
        <v>265594464</v>
      </c>
      <c r="J335">
        <v>270537504</v>
      </c>
      <c r="K335">
        <v>28.1062025283649</v>
      </c>
      <c r="L335">
        <v>27.984649834838699</v>
      </c>
      <c r="M335">
        <v>28.011253364553099</v>
      </c>
      <c r="N335">
        <v>183966708.40000001</v>
      </c>
      <c r="O335">
        <v>169490544.80000001</v>
      </c>
      <c r="P335">
        <v>175254124.69999999</v>
      </c>
    </row>
    <row r="336" spans="1:16">
      <c r="A336">
        <v>11776.82</v>
      </c>
      <c r="B336">
        <v>10</v>
      </c>
      <c r="C336" t="s">
        <v>684</v>
      </c>
      <c r="D336" t="s">
        <v>685</v>
      </c>
      <c r="E336">
        <v>10</v>
      </c>
      <c r="F336">
        <v>10</v>
      </c>
      <c r="G336">
        <v>10</v>
      </c>
      <c r="H336">
        <v>150122144</v>
      </c>
      <c r="I336">
        <v>149788128</v>
      </c>
      <c r="J336">
        <v>162161552</v>
      </c>
      <c r="K336">
        <v>27.161561558726799</v>
      </c>
      <c r="L336">
        <v>27.158348041411799</v>
      </c>
      <c r="M336">
        <v>27.2728565606877</v>
      </c>
      <c r="N336">
        <v>120300394.59999999</v>
      </c>
      <c r="O336">
        <v>115130879.3</v>
      </c>
      <c r="P336">
        <v>127653087.8</v>
      </c>
    </row>
    <row r="337" spans="1:16">
      <c r="A337">
        <v>13148.48</v>
      </c>
      <c r="B337">
        <v>13</v>
      </c>
      <c r="C337" t="s">
        <v>686</v>
      </c>
      <c r="D337" t="s">
        <v>687</v>
      </c>
      <c r="E337">
        <v>12</v>
      </c>
      <c r="F337">
        <v>13</v>
      </c>
      <c r="G337">
        <v>12</v>
      </c>
      <c r="H337">
        <v>70220408</v>
      </c>
      <c r="I337">
        <v>83893224</v>
      </c>
      <c r="J337">
        <v>72017264</v>
      </c>
      <c r="K337">
        <v>26.065387042911901</v>
      </c>
      <c r="L337">
        <v>26.322050954061599</v>
      </c>
      <c r="M337">
        <v>26.1018394555113</v>
      </c>
      <c r="N337">
        <v>56775313.200000003</v>
      </c>
      <c r="O337">
        <v>64633792.799999997</v>
      </c>
      <c r="P337">
        <v>60021026.299999997</v>
      </c>
    </row>
    <row r="338" spans="1:16">
      <c r="A338">
        <v>10182.06</v>
      </c>
      <c r="B338">
        <v>9</v>
      </c>
      <c r="C338" t="s">
        <v>688</v>
      </c>
      <c r="D338" t="s">
        <v>689</v>
      </c>
      <c r="E338">
        <v>7</v>
      </c>
      <c r="F338">
        <v>9</v>
      </c>
      <c r="G338">
        <v>7</v>
      </c>
      <c r="H338">
        <v>24483162</v>
      </c>
      <c r="I338">
        <v>22598252</v>
      </c>
      <c r="J338">
        <v>23222160</v>
      </c>
      <c r="K338">
        <v>24.545286558317599</v>
      </c>
      <c r="L338">
        <v>24.429707847096999</v>
      </c>
      <c r="M338">
        <v>24.468998834363099</v>
      </c>
      <c r="N338">
        <v>54436257.899999999</v>
      </c>
      <c r="O338">
        <v>52214657.100000001</v>
      </c>
      <c r="P338">
        <v>55575924.899999999</v>
      </c>
    </row>
    <row r="339" spans="1:16">
      <c r="A339">
        <v>15621.74</v>
      </c>
      <c r="B339">
        <v>11</v>
      </c>
      <c r="C339" t="s">
        <v>690</v>
      </c>
      <c r="D339" t="s">
        <v>691</v>
      </c>
      <c r="E339">
        <v>11</v>
      </c>
      <c r="F339">
        <v>11</v>
      </c>
      <c r="G339">
        <v>11</v>
      </c>
      <c r="H339">
        <v>100508808</v>
      </c>
      <c r="I339">
        <v>106814744</v>
      </c>
      <c r="J339">
        <v>102305304</v>
      </c>
      <c r="K339">
        <v>26.582746695339999</v>
      </c>
      <c r="L339">
        <v>26.670535559940401</v>
      </c>
      <c r="M339">
        <v>26.608305702384801</v>
      </c>
      <c r="N339">
        <v>64482392.200000003</v>
      </c>
      <c r="O339">
        <v>54191408</v>
      </c>
      <c r="P339">
        <v>63516957.899999999</v>
      </c>
    </row>
    <row r="340" spans="1:16">
      <c r="A340">
        <v>15798.74</v>
      </c>
      <c r="B340">
        <v>9</v>
      </c>
      <c r="C340" t="s">
        <v>692</v>
      </c>
      <c r="D340" t="s">
        <v>693</v>
      </c>
      <c r="E340">
        <v>7</v>
      </c>
      <c r="F340">
        <v>9</v>
      </c>
      <c r="G340">
        <v>8</v>
      </c>
      <c r="H340">
        <v>5931576.5</v>
      </c>
      <c r="I340">
        <v>9312176</v>
      </c>
      <c r="J340">
        <v>6858386.5</v>
      </c>
      <c r="K340">
        <v>22.499984165909598</v>
      </c>
      <c r="L340">
        <v>23.150686894744702</v>
      </c>
      <c r="M340">
        <v>22.709437778048098</v>
      </c>
      <c r="N340">
        <v>18883487.600000001</v>
      </c>
      <c r="O340">
        <v>42301292.299999997</v>
      </c>
      <c r="P340">
        <v>21062117.100000001</v>
      </c>
    </row>
    <row r="341" spans="1:16">
      <c r="A341">
        <v>26215.69</v>
      </c>
      <c r="B341">
        <v>29</v>
      </c>
      <c r="C341" t="s">
        <v>694</v>
      </c>
      <c r="D341" t="s">
        <v>695</v>
      </c>
      <c r="E341">
        <v>28</v>
      </c>
      <c r="F341">
        <v>29</v>
      </c>
      <c r="G341">
        <v>28</v>
      </c>
      <c r="H341">
        <v>489785952</v>
      </c>
      <c r="I341">
        <v>604961536</v>
      </c>
      <c r="J341">
        <v>555525120</v>
      </c>
      <c r="K341">
        <v>28.867576154334799</v>
      </c>
      <c r="L341">
        <v>29.1722681765503</v>
      </c>
      <c r="M341">
        <v>29.049276908661099</v>
      </c>
      <c r="N341">
        <v>284211234.30000001</v>
      </c>
      <c r="O341">
        <v>288761929.69999999</v>
      </c>
      <c r="P341">
        <v>312849684.69999999</v>
      </c>
    </row>
    <row r="342" spans="1:16">
      <c r="A342">
        <v>12373.57</v>
      </c>
      <c r="B342">
        <v>13</v>
      </c>
      <c r="C342" t="s">
        <v>696</v>
      </c>
      <c r="D342" t="s">
        <v>697</v>
      </c>
      <c r="E342">
        <v>13</v>
      </c>
      <c r="F342">
        <v>13</v>
      </c>
      <c r="G342">
        <v>12</v>
      </c>
      <c r="H342">
        <v>42604644</v>
      </c>
      <c r="I342">
        <v>52026464</v>
      </c>
      <c r="J342">
        <v>43541856</v>
      </c>
      <c r="K342">
        <v>25.3445073601698</v>
      </c>
      <c r="L342">
        <v>25.632742321496899</v>
      </c>
      <c r="M342">
        <v>25.375899568865002</v>
      </c>
      <c r="N342">
        <v>75939775.5</v>
      </c>
      <c r="O342">
        <v>73279315</v>
      </c>
      <c r="P342">
        <v>84956079</v>
      </c>
    </row>
    <row r="343" spans="1:16">
      <c r="A343">
        <v>9860.41</v>
      </c>
      <c r="B343">
        <v>13</v>
      </c>
      <c r="C343" t="s">
        <v>698</v>
      </c>
      <c r="D343" t="s">
        <v>699</v>
      </c>
      <c r="E343">
        <v>13</v>
      </c>
      <c r="F343">
        <v>13</v>
      </c>
      <c r="G343">
        <v>13</v>
      </c>
      <c r="H343">
        <v>253001296</v>
      </c>
      <c r="I343">
        <v>301472992</v>
      </c>
      <c r="J343">
        <v>301219872</v>
      </c>
      <c r="K343">
        <v>27.914569534247601</v>
      </c>
      <c r="L343">
        <v>28.1674535205842</v>
      </c>
      <c r="M343">
        <v>28.1662417093549</v>
      </c>
      <c r="N343">
        <v>207914978.40000001</v>
      </c>
      <c r="O343">
        <v>192885545.69999999</v>
      </c>
      <c r="P343">
        <v>218040230.5</v>
      </c>
    </row>
    <row r="344" spans="1:16">
      <c r="A344">
        <v>31157.82</v>
      </c>
      <c r="B344">
        <v>27</v>
      </c>
      <c r="C344" t="s">
        <v>700</v>
      </c>
      <c r="D344" t="s">
        <v>701</v>
      </c>
      <c r="E344">
        <v>25</v>
      </c>
      <c r="F344">
        <v>27</v>
      </c>
      <c r="G344">
        <v>25</v>
      </c>
      <c r="H344">
        <v>205581824</v>
      </c>
      <c r="I344">
        <v>280411328</v>
      </c>
      <c r="J344">
        <v>245950160</v>
      </c>
      <c r="K344">
        <v>27.615137477014802</v>
      </c>
      <c r="L344">
        <v>28.062969391326501</v>
      </c>
      <c r="M344">
        <v>27.873790752688802</v>
      </c>
      <c r="N344">
        <v>129536888.2</v>
      </c>
      <c r="O344">
        <v>128917493.09999999</v>
      </c>
      <c r="P344">
        <v>130605799.59999999</v>
      </c>
    </row>
    <row r="345" spans="1:16">
      <c r="A345">
        <v>10842.75</v>
      </c>
      <c r="B345">
        <v>12</v>
      </c>
      <c r="C345" t="s">
        <v>702</v>
      </c>
      <c r="D345" t="s">
        <v>703</v>
      </c>
      <c r="E345">
        <v>11</v>
      </c>
      <c r="F345">
        <v>12</v>
      </c>
      <c r="G345">
        <v>11</v>
      </c>
      <c r="H345">
        <v>126893800</v>
      </c>
      <c r="I345">
        <v>153313744</v>
      </c>
      <c r="J345">
        <v>155366368</v>
      </c>
      <c r="K345">
        <v>26.9190463402734</v>
      </c>
      <c r="L345">
        <v>27.1919117940724</v>
      </c>
      <c r="M345">
        <v>27.211098997909801</v>
      </c>
      <c r="N345">
        <v>114824739.7</v>
      </c>
      <c r="O345">
        <v>118682688.09999999</v>
      </c>
      <c r="P345">
        <v>124553452.3</v>
      </c>
    </row>
    <row r="346" spans="1:16">
      <c r="A346">
        <v>23091.83</v>
      </c>
      <c r="B346">
        <v>19</v>
      </c>
      <c r="C346" t="s">
        <v>704</v>
      </c>
      <c r="D346" t="s">
        <v>705</v>
      </c>
      <c r="E346">
        <v>19</v>
      </c>
      <c r="F346">
        <v>19</v>
      </c>
      <c r="G346">
        <v>19</v>
      </c>
      <c r="H346">
        <v>147016160</v>
      </c>
      <c r="I346">
        <v>171113360</v>
      </c>
      <c r="J346">
        <v>157123344</v>
      </c>
      <c r="K346">
        <v>27.131399503755599</v>
      </c>
      <c r="L346">
        <v>27.350377164474299</v>
      </c>
      <c r="M346">
        <v>27.227322298554</v>
      </c>
      <c r="N346">
        <v>91595447.200000003</v>
      </c>
      <c r="O346">
        <v>90361362.5</v>
      </c>
      <c r="P346">
        <v>90298987.299999997</v>
      </c>
    </row>
    <row r="347" spans="1:16">
      <c r="A347">
        <v>24270.22</v>
      </c>
      <c r="B347">
        <v>19</v>
      </c>
      <c r="C347" t="s">
        <v>706</v>
      </c>
      <c r="D347" t="s">
        <v>707</v>
      </c>
      <c r="E347">
        <v>19</v>
      </c>
      <c r="F347">
        <v>19</v>
      </c>
      <c r="G347">
        <v>17</v>
      </c>
      <c r="H347">
        <v>116858944</v>
      </c>
      <c r="I347">
        <v>110823296</v>
      </c>
      <c r="J347">
        <v>120401120</v>
      </c>
      <c r="K347">
        <v>26.800192916588301</v>
      </c>
      <c r="L347">
        <v>26.7236859391409</v>
      </c>
      <c r="M347">
        <v>26.843273571552999</v>
      </c>
      <c r="N347">
        <v>62379421.799999997</v>
      </c>
      <c r="O347">
        <v>56986477.799999997</v>
      </c>
      <c r="P347">
        <v>61590123.399999999</v>
      </c>
    </row>
    <row r="348" spans="1:16">
      <c r="A348">
        <v>11529.66</v>
      </c>
      <c r="B348">
        <v>13</v>
      </c>
      <c r="C348" t="s">
        <v>708</v>
      </c>
      <c r="D348" t="s">
        <v>709</v>
      </c>
      <c r="E348">
        <v>13</v>
      </c>
      <c r="F348">
        <v>13</v>
      </c>
      <c r="G348">
        <v>12</v>
      </c>
      <c r="H348">
        <v>59383680</v>
      </c>
      <c r="I348">
        <v>77959320</v>
      </c>
      <c r="J348">
        <v>72298056</v>
      </c>
      <c r="K348">
        <v>25.8235631639565</v>
      </c>
      <c r="L348">
        <v>26.216218170957799</v>
      </c>
      <c r="M348">
        <v>26.107453519730001</v>
      </c>
      <c r="N348">
        <v>80070000.799999997</v>
      </c>
      <c r="O348">
        <v>78616368.599999994</v>
      </c>
      <c r="P348">
        <v>87408192.599999994</v>
      </c>
    </row>
    <row r="349" spans="1:16">
      <c r="A349">
        <v>32110.57</v>
      </c>
      <c r="B349">
        <v>15</v>
      </c>
      <c r="C349" t="s">
        <v>710</v>
      </c>
      <c r="D349" t="s">
        <v>711</v>
      </c>
      <c r="E349">
        <v>15</v>
      </c>
      <c r="F349">
        <v>15</v>
      </c>
      <c r="G349">
        <v>14</v>
      </c>
      <c r="H349">
        <v>4463632</v>
      </c>
      <c r="I349">
        <v>4391114</v>
      </c>
      <c r="J349">
        <v>4620293</v>
      </c>
      <c r="K349">
        <v>22.089786659739499</v>
      </c>
      <c r="L349">
        <v>22.0661555588329</v>
      </c>
      <c r="M349">
        <v>22.1395529136588</v>
      </c>
      <c r="N349">
        <v>2772802.9</v>
      </c>
      <c r="O349">
        <v>2822028.1</v>
      </c>
      <c r="P349">
        <v>2918210.5</v>
      </c>
    </row>
    <row r="350" spans="1:16">
      <c r="A350">
        <v>60254.36</v>
      </c>
      <c r="B350">
        <v>9</v>
      </c>
      <c r="C350" t="s">
        <v>712</v>
      </c>
      <c r="D350" t="s">
        <v>713</v>
      </c>
      <c r="E350">
        <v>9</v>
      </c>
      <c r="F350">
        <v>9</v>
      </c>
      <c r="G350">
        <v>8</v>
      </c>
      <c r="H350">
        <v>4521552.5</v>
      </c>
      <c r="I350">
        <v>4582775</v>
      </c>
      <c r="J350">
        <v>5145046.5</v>
      </c>
      <c r="K350">
        <v>22.108386784328701</v>
      </c>
      <c r="L350">
        <v>22.1277900249354</v>
      </c>
      <c r="M350">
        <v>22.2947526853192</v>
      </c>
      <c r="N350">
        <v>842709.9</v>
      </c>
      <c r="O350">
        <v>733132.1</v>
      </c>
      <c r="P350">
        <v>811248.9</v>
      </c>
    </row>
    <row r="351" spans="1:16">
      <c r="A351">
        <v>27356.3</v>
      </c>
      <c r="B351">
        <v>16</v>
      </c>
      <c r="C351" t="s">
        <v>714</v>
      </c>
      <c r="D351" t="s">
        <v>715</v>
      </c>
      <c r="E351">
        <v>16</v>
      </c>
      <c r="F351">
        <v>16</v>
      </c>
      <c r="G351">
        <v>15</v>
      </c>
      <c r="H351">
        <v>62834976</v>
      </c>
      <c r="I351">
        <v>64098760</v>
      </c>
      <c r="J351">
        <v>62982344</v>
      </c>
      <c r="K351">
        <v>25.905064498095701</v>
      </c>
      <c r="L351">
        <v>25.9337931121763</v>
      </c>
      <c r="M351">
        <v>25.908444115146999</v>
      </c>
      <c r="N351">
        <v>16746841.4</v>
      </c>
      <c r="O351">
        <v>16269144.300000001</v>
      </c>
      <c r="P351">
        <v>16664652.1</v>
      </c>
    </row>
    <row r="352" spans="1:16">
      <c r="A352">
        <v>54860.04</v>
      </c>
      <c r="B352">
        <v>32</v>
      </c>
      <c r="C352" t="s">
        <v>716</v>
      </c>
      <c r="D352" t="s">
        <v>717</v>
      </c>
      <c r="E352">
        <v>31</v>
      </c>
      <c r="F352">
        <v>32</v>
      </c>
      <c r="G352">
        <v>32</v>
      </c>
      <c r="H352">
        <v>29472424</v>
      </c>
      <c r="I352">
        <v>28236962</v>
      </c>
      <c r="J352">
        <v>27655372</v>
      </c>
      <c r="K352">
        <v>24.812862385988801</v>
      </c>
      <c r="L352">
        <v>24.7510815423637</v>
      </c>
      <c r="M352">
        <v>24.721056412482898</v>
      </c>
      <c r="N352">
        <v>9802476.4000000004</v>
      </c>
      <c r="O352">
        <v>9903382.3000000007</v>
      </c>
      <c r="P352">
        <v>9679894.5</v>
      </c>
    </row>
    <row r="353" spans="1:16">
      <c r="A353">
        <v>54000.53</v>
      </c>
      <c r="B353">
        <v>37</v>
      </c>
      <c r="C353" t="s">
        <v>718</v>
      </c>
      <c r="D353" t="s">
        <v>719</v>
      </c>
      <c r="E353">
        <v>37</v>
      </c>
      <c r="F353">
        <v>37</v>
      </c>
      <c r="G353">
        <v>37</v>
      </c>
      <c r="H353">
        <v>27418882</v>
      </c>
      <c r="I353">
        <v>27531942</v>
      </c>
      <c r="J353">
        <v>27384800</v>
      </c>
      <c r="K353">
        <v>24.7086664108961</v>
      </c>
      <c r="L353">
        <v>24.714603040035101</v>
      </c>
      <c r="M353">
        <v>24.706872008150601</v>
      </c>
      <c r="N353">
        <v>9160980.3000000007</v>
      </c>
      <c r="O353">
        <v>8775628.9000000004</v>
      </c>
      <c r="P353">
        <v>9271440.8000000007</v>
      </c>
    </row>
    <row r="354" spans="1:16">
      <c r="A354">
        <v>11737.08</v>
      </c>
      <c r="B354">
        <v>5</v>
      </c>
      <c r="C354" t="s">
        <v>720</v>
      </c>
      <c r="D354" t="s">
        <v>721</v>
      </c>
      <c r="E354">
        <v>5</v>
      </c>
      <c r="F354">
        <v>5</v>
      </c>
      <c r="G354">
        <v>5</v>
      </c>
      <c r="H354">
        <v>1135676.375</v>
      </c>
      <c r="I354">
        <v>275554.125</v>
      </c>
      <c r="J354">
        <v>1168951.125</v>
      </c>
      <c r="K354">
        <v>20.115120348973399</v>
      </c>
      <c r="L354">
        <v>18.071976198676701</v>
      </c>
      <c r="M354">
        <v>20.1567831799515</v>
      </c>
      <c r="N354">
        <v>858783.2</v>
      </c>
      <c r="O354">
        <v>125918.5</v>
      </c>
      <c r="P354">
        <v>1055217.6000000001</v>
      </c>
    </row>
    <row r="355" spans="1:16">
      <c r="A355">
        <v>75709.05</v>
      </c>
      <c r="B355">
        <v>35</v>
      </c>
      <c r="C355" t="s">
        <v>722</v>
      </c>
      <c r="D355" t="s">
        <v>723</v>
      </c>
      <c r="E355">
        <v>34</v>
      </c>
      <c r="F355">
        <v>35</v>
      </c>
      <c r="G355">
        <v>34</v>
      </c>
      <c r="H355">
        <v>6005063</v>
      </c>
      <c r="I355">
        <v>5585763</v>
      </c>
      <c r="J355">
        <v>5628200.5</v>
      </c>
      <c r="K355">
        <v>22.5177479508605</v>
      </c>
      <c r="L355">
        <v>22.413322931703501</v>
      </c>
      <c r="M355">
        <v>22.424242293634801</v>
      </c>
      <c r="N355">
        <v>2379881.1</v>
      </c>
      <c r="O355">
        <v>2303562.2999999998</v>
      </c>
      <c r="P355">
        <v>2290032.1</v>
      </c>
    </row>
    <row r="356" spans="1:16">
      <c r="A356">
        <v>76727.08</v>
      </c>
      <c r="B356">
        <v>10</v>
      </c>
      <c r="C356" t="s">
        <v>724</v>
      </c>
      <c r="D356" t="s">
        <v>725</v>
      </c>
      <c r="E356">
        <v>10</v>
      </c>
      <c r="F356">
        <v>10</v>
      </c>
      <c r="G356">
        <v>10</v>
      </c>
      <c r="H356">
        <v>1829059.25</v>
      </c>
      <c r="I356">
        <v>1793635</v>
      </c>
      <c r="J356">
        <v>1923294.5</v>
      </c>
      <c r="K356">
        <v>20.802670379400698</v>
      </c>
      <c r="L356">
        <v>20.774454904806799</v>
      </c>
      <c r="M356">
        <v>20.875148258241701</v>
      </c>
      <c r="N356">
        <v>372041.8</v>
      </c>
      <c r="O356">
        <v>367098.6</v>
      </c>
      <c r="P356">
        <v>381886.5</v>
      </c>
    </row>
    <row r="357" spans="1:16">
      <c r="A357">
        <v>35873.47</v>
      </c>
      <c r="B357">
        <v>13</v>
      </c>
      <c r="C357" t="s">
        <v>726</v>
      </c>
      <c r="D357" t="s">
        <v>727</v>
      </c>
      <c r="E357">
        <v>13</v>
      </c>
      <c r="F357">
        <v>13</v>
      </c>
      <c r="G357">
        <v>13</v>
      </c>
      <c r="H357">
        <v>2676465.5</v>
      </c>
      <c r="I357">
        <v>2696396.75</v>
      </c>
      <c r="J357">
        <v>2520109</v>
      </c>
      <c r="K357">
        <v>21.3518976255639</v>
      </c>
      <c r="L357">
        <v>21.3626013607788</v>
      </c>
      <c r="M357">
        <v>21.2650547039853</v>
      </c>
      <c r="N357">
        <v>1112106.1000000001</v>
      </c>
      <c r="O357">
        <v>1153099.2</v>
      </c>
      <c r="P357">
        <v>1033299</v>
      </c>
    </row>
    <row r="358" spans="1:16">
      <c r="A358">
        <v>36340.300000000003</v>
      </c>
      <c r="B358">
        <v>4</v>
      </c>
      <c r="C358" t="s">
        <v>728</v>
      </c>
      <c r="D358" t="s">
        <v>729</v>
      </c>
      <c r="E358">
        <v>4</v>
      </c>
      <c r="F358">
        <v>4</v>
      </c>
      <c r="G358">
        <v>4</v>
      </c>
      <c r="H358">
        <v>4031112.25</v>
      </c>
      <c r="I358">
        <v>3407778</v>
      </c>
      <c r="J358">
        <v>3843890.5</v>
      </c>
      <c r="K358">
        <v>21.9427465262327</v>
      </c>
      <c r="L358">
        <v>21.7003999234527</v>
      </c>
      <c r="M358">
        <v>21.874135808308601</v>
      </c>
      <c r="N358">
        <v>1866378.4</v>
      </c>
      <c r="O358">
        <v>1517014.2</v>
      </c>
      <c r="P358">
        <v>1603007.5</v>
      </c>
    </row>
    <row r="359" spans="1:16">
      <c r="A359">
        <v>9447.0300000000007</v>
      </c>
      <c r="B359">
        <v>7</v>
      </c>
      <c r="C359" t="s">
        <v>730</v>
      </c>
      <c r="D359" t="s">
        <v>731</v>
      </c>
      <c r="E359">
        <v>7</v>
      </c>
      <c r="F359">
        <v>7</v>
      </c>
      <c r="G359">
        <v>7</v>
      </c>
      <c r="H359">
        <v>34006008</v>
      </c>
      <c r="I359">
        <v>34995400</v>
      </c>
      <c r="J359">
        <v>33387474</v>
      </c>
      <c r="K359">
        <v>25.019286320753199</v>
      </c>
      <c r="L359">
        <v>25.060661962459601</v>
      </c>
      <c r="M359">
        <v>24.992803611595001</v>
      </c>
      <c r="N359">
        <v>36545767.399999999</v>
      </c>
      <c r="O359">
        <v>37991062.700000003</v>
      </c>
      <c r="P359">
        <v>38147286.299999997</v>
      </c>
    </row>
    <row r="360" spans="1:16">
      <c r="A360">
        <v>83852.17</v>
      </c>
      <c r="B360">
        <v>53</v>
      </c>
      <c r="C360" t="s">
        <v>732</v>
      </c>
      <c r="D360" t="s">
        <v>733</v>
      </c>
      <c r="E360">
        <v>53</v>
      </c>
      <c r="F360">
        <v>53</v>
      </c>
      <c r="G360">
        <v>51</v>
      </c>
      <c r="H360">
        <v>16072500</v>
      </c>
      <c r="I360">
        <v>17956742</v>
      </c>
      <c r="J360">
        <v>16605251</v>
      </c>
      <c r="K360">
        <v>23.938091014947101</v>
      </c>
      <c r="L360">
        <v>24.098022281171399</v>
      </c>
      <c r="M360">
        <v>23.985136194563001</v>
      </c>
      <c r="N360">
        <v>4248825.9000000004</v>
      </c>
      <c r="O360">
        <v>4337371.2</v>
      </c>
      <c r="P360">
        <v>4265406.9000000004</v>
      </c>
    </row>
    <row r="361" spans="1:16">
      <c r="A361">
        <v>29524.06</v>
      </c>
      <c r="B361">
        <v>5</v>
      </c>
      <c r="C361" t="s">
        <v>734</v>
      </c>
      <c r="D361" t="s">
        <v>735</v>
      </c>
      <c r="E361">
        <v>5</v>
      </c>
      <c r="F361">
        <v>5</v>
      </c>
      <c r="G361">
        <v>5</v>
      </c>
      <c r="H361">
        <v>470395.65625</v>
      </c>
      <c r="I361">
        <v>478047.34375</v>
      </c>
      <c r="J361">
        <v>476641.375</v>
      </c>
      <c r="K361">
        <v>18.8435152124692</v>
      </c>
      <c r="L361">
        <v>18.866793978021501</v>
      </c>
      <c r="M361">
        <v>18.862544664984</v>
      </c>
      <c r="N361">
        <v>222606.4</v>
      </c>
      <c r="O361">
        <v>219090.6</v>
      </c>
      <c r="P361">
        <v>239790.5</v>
      </c>
    </row>
    <row r="362" spans="1:16">
      <c r="A362">
        <v>38260.660000000003</v>
      </c>
      <c r="B362">
        <v>18</v>
      </c>
      <c r="C362" t="s">
        <v>736</v>
      </c>
      <c r="D362" t="s">
        <v>737</v>
      </c>
      <c r="E362">
        <v>18</v>
      </c>
      <c r="F362">
        <v>18</v>
      </c>
      <c r="G362">
        <v>18</v>
      </c>
      <c r="H362">
        <v>28588056</v>
      </c>
      <c r="I362">
        <v>35944828</v>
      </c>
      <c r="J362">
        <v>30456064</v>
      </c>
      <c r="K362">
        <v>24.768909183637899</v>
      </c>
      <c r="L362">
        <v>25.0992808644855</v>
      </c>
      <c r="M362">
        <v>24.860226170889199</v>
      </c>
      <c r="N362">
        <v>12322282.800000001</v>
      </c>
      <c r="O362">
        <v>13618363.300000001</v>
      </c>
      <c r="P362">
        <v>12294727.5</v>
      </c>
    </row>
    <row r="363" spans="1:16">
      <c r="A363">
        <v>68214.28</v>
      </c>
      <c r="B363">
        <v>4</v>
      </c>
      <c r="C363" t="s">
        <v>738</v>
      </c>
      <c r="D363" t="s">
        <v>739</v>
      </c>
      <c r="E363">
        <v>4</v>
      </c>
      <c r="F363">
        <v>4</v>
      </c>
      <c r="G363">
        <v>4</v>
      </c>
      <c r="H363">
        <v>404266.125</v>
      </c>
      <c r="I363">
        <v>366281.71875</v>
      </c>
      <c r="J363">
        <v>334842.125</v>
      </c>
      <c r="K363">
        <v>18.624945794192801</v>
      </c>
      <c r="L363">
        <v>18.482594171860899</v>
      </c>
      <c r="M363">
        <v>18.353121512795799</v>
      </c>
      <c r="N363">
        <v>68684.2</v>
      </c>
      <c r="O363">
        <v>39602.5</v>
      </c>
      <c r="P363">
        <v>45683.199999999997</v>
      </c>
    </row>
    <row r="364" spans="1:16">
      <c r="A364">
        <v>28908.03</v>
      </c>
      <c r="B364">
        <v>13</v>
      </c>
      <c r="C364" t="s">
        <v>740</v>
      </c>
      <c r="D364" t="s">
        <v>741</v>
      </c>
      <c r="E364">
        <v>12</v>
      </c>
      <c r="F364">
        <v>12</v>
      </c>
      <c r="G364">
        <v>10</v>
      </c>
      <c r="H364">
        <v>4438159.5</v>
      </c>
      <c r="I364">
        <v>6543027.5</v>
      </c>
      <c r="J364">
        <v>6469238.5</v>
      </c>
      <c r="K364">
        <v>22.081530085828</v>
      </c>
      <c r="L364">
        <v>22.641526903608</v>
      </c>
      <c r="M364">
        <v>22.625164470578898</v>
      </c>
      <c r="N364">
        <v>1973852.1</v>
      </c>
      <c r="O364">
        <v>10403998.300000001</v>
      </c>
      <c r="P364">
        <v>2437529.7000000002</v>
      </c>
    </row>
    <row r="365" spans="1:16">
      <c r="A365">
        <v>54724.82</v>
      </c>
      <c r="B365">
        <v>28</v>
      </c>
      <c r="C365" t="s">
        <v>742</v>
      </c>
      <c r="D365" t="s">
        <v>743</v>
      </c>
      <c r="E365">
        <v>28</v>
      </c>
      <c r="F365">
        <v>28</v>
      </c>
      <c r="G365">
        <v>28</v>
      </c>
      <c r="H365">
        <v>39358908</v>
      </c>
      <c r="I365">
        <v>41784472</v>
      </c>
      <c r="J365">
        <v>42187480</v>
      </c>
      <c r="K365">
        <v>25.230186858342901</v>
      </c>
      <c r="L365">
        <v>25.316463569899401</v>
      </c>
      <c r="M365">
        <v>25.330311577317801</v>
      </c>
      <c r="N365">
        <v>13959590.199999999</v>
      </c>
      <c r="O365">
        <v>13992929.199999999</v>
      </c>
      <c r="P365">
        <v>14305581.6</v>
      </c>
    </row>
    <row r="366" spans="1:16">
      <c r="A366">
        <v>32632.92</v>
      </c>
      <c r="B366">
        <v>10</v>
      </c>
      <c r="C366" t="s">
        <v>744</v>
      </c>
      <c r="D366" t="s">
        <v>745</v>
      </c>
      <c r="E366">
        <v>10</v>
      </c>
      <c r="F366">
        <v>10</v>
      </c>
      <c r="G366">
        <v>10</v>
      </c>
      <c r="H366">
        <v>9078020</v>
      </c>
      <c r="I366">
        <v>8877100</v>
      </c>
      <c r="J366">
        <v>10461883</v>
      </c>
      <c r="K366">
        <v>23.113946236038899</v>
      </c>
      <c r="L366">
        <v>23.0816570185419</v>
      </c>
      <c r="M366">
        <v>23.318639205114899</v>
      </c>
      <c r="N366">
        <v>3499170.2</v>
      </c>
      <c r="O366">
        <v>3596288.8</v>
      </c>
      <c r="P366">
        <v>4130458.4</v>
      </c>
    </row>
    <row r="367" spans="1:16">
      <c r="A367">
        <v>27540.57</v>
      </c>
      <c r="B367">
        <v>18</v>
      </c>
      <c r="C367" t="s">
        <v>746</v>
      </c>
      <c r="D367" t="s">
        <v>747</v>
      </c>
      <c r="E367">
        <v>18</v>
      </c>
      <c r="F367">
        <v>17</v>
      </c>
      <c r="G367">
        <v>17</v>
      </c>
      <c r="H367">
        <v>19043322</v>
      </c>
      <c r="I367">
        <v>20409006</v>
      </c>
      <c r="J367">
        <v>19822402</v>
      </c>
      <c r="K367">
        <v>24.182781834815199</v>
      </c>
      <c r="L367">
        <v>24.28270258329</v>
      </c>
      <c r="M367">
        <v>24.2406284573878</v>
      </c>
      <c r="N367">
        <v>12680170.6</v>
      </c>
      <c r="O367">
        <v>12615453.9</v>
      </c>
      <c r="P367">
        <v>13316335.199999999</v>
      </c>
    </row>
    <row r="368" spans="1:16">
      <c r="A368">
        <v>27520.63</v>
      </c>
      <c r="B368">
        <v>25</v>
      </c>
      <c r="C368" t="s">
        <v>748</v>
      </c>
      <c r="D368" t="s">
        <v>749</v>
      </c>
      <c r="E368">
        <v>24</v>
      </c>
      <c r="F368">
        <v>25</v>
      </c>
      <c r="G368">
        <v>24</v>
      </c>
      <c r="H368">
        <v>48422524</v>
      </c>
      <c r="I368">
        <v>50710960</v>
      </c>
      <c r="J368">
        <v>51016232</v>
      </c>
      <c r="K368">
        <v>25.529174945270299</v>
      </c>
      <c r="L368">
        <v>25.595794250273102</v>
      </c>
      <c r="M368">
        <v>25.604453011296499</v>
      </c>
      <c r="N368">
        <v>25958399.300000001</v>
      </c>
      <c r="O368">
        <v>28193769.5</v>
      </c>
      <c r="P368">
        <v>27497020.100000001</v>
      </c>
    </row>
    <row r="369" spans="1:16">
      <c r="A369">
        <v>31938.73</v>
      </c>
      <c r="B369">
        <v>16</v>
      </c>
      <c r="C369" t="s">
        <v>750</v>
      </c>
      <c r="D369" t="s">
        <v>751</v>
      </c>
      <c r="E369">
        <v>15</v>
      </c>
      <c r="F369">
        <v>16</v>
      </c>
      <c r="G369">
        <v>16</v>
      </c>
      <c r="H369">
        <v>27589132</v>
      </c>
      <c r="I369">
        <v>31637146</v>
      </c>
      <c r="J369">
        <v>29528144</v>
      </c>
      <c r="K369">
        <v>24.717596732030099</v>
      </c>
      <c r="L369">
        <v>24.915116123776901</v>
      </c>
      <c r="M369">
        <v>24.815587342520601</v>
      </c>
      <c r="N369">
        <v>10905026.199999999</v>
      </c>
      <c r="O369">
        <v>11236586.9</v>
      </c>
      <c r="P369">
        <v>11950301.800000001</v>
      </c>
    </row>
    <row r="370" spans="1:16">
      <c r="A370">
        <v>60013.61</v>
      </c>
      <c r="B370">
        <v>36</v>
      </c>
      <c r="C370" t="s">
        <v>752</v>
      </c>
      <c r="D370" t="s">
        <v>753</v>
      </c>
      <c r="E370">
        <v>35</v>
      </c>
      <c r="F370">
        <v>36</v>
      </c>
      <c r="G370">
        <v>35</v>
      </c>
      <c r="H370">
        <v>71651208</v>
      </c>
      <c r="I370">
        <v>74977840</v>
      </c>
      <c r="J370">
        <v>62543740</v>
      </c>
      <c r="K370">
        <v>26.094487691949698</v>
      </c>
      <c r="L370">
        <v>26.159960928538801</v>
      </c>
      <c r="M370">
        <v>25.898362156549702</v>
      </c>
      <c r="N370">
        <v>22439006</v>
      </c>
      <c r="O370">
        <v>21095062.699999999</v>
      </c>
      <c r="P370">
        <v>20519052.899999999</v>
      </c>
    </row>
    <row r="371" spans="1:16">
      <c r="A371">
        <v>23441.29</v>
      </c>
      <c r="B371">
        <v>9</v>
      </c>
      <c r="C371" t="s">
        <v>754</v>
      </c>
      <c r="D371" t="s">
        <v>755</v>
      </c>
      <c r="E371">
        <v>9</v>
      </c>
      <c r="F371">
        <v>9</v>
      </c>
      <c r="G371">
        <v>9</v>
      </c>
      <c r="H371">
        <v>469473.90625</v>
      </c>
      <c r="I371">
        <v>481753.15625</v>
      </c>
      <c r="J371">
        <v>447493.5625</v>
      </c>
      <c r="K371">
        <v>18.8406854483544</v>
      </c>
      <c r="L371">
        <v>18.877934592937599</v>
      </c>
      <c r="M371">
        <v>18.7715074028111</v>
      </c>
      <c r="N371">
        <v>404743.1</v>
      </c>
      <c r="O371">
        <v>419114.7</v>
      </c>
      <c r="P371">
        <v>407602.1</v>
      </c>
    </row>
    <row r="372" spans="1:16">
      <c r="A372">
        <v>24279.200000000001</v>
      </c>
      <c r="B372">
        <v>13</v>
      </c>
      <c r="C372" t="s">
        <v>756</v>
      </c>
      <c r="D372" t="s">
        <v>757</v>
      </c>
      <c r="E372">
        <v>13</v>
      </c>
      <c r="F372">
        <v>13</v>
      </c>
      <c r="G372">
        <v>12</v>
      </c>
      <c r="H372">
        <v>18119902</v>
      </c>
      <c r="I372">
        <v>16806694</v>
      </c>
      <c r="J372">
        <v>16193293</v>
      </c>
      <c r="K372">
        <v>24.1110718169192</v>
      </c>
      <c r="L372">
        <v>24.002532627995699</v>
      </c>
      <c r="M372">
        <v>23.948893060085801</v>
      </c>
      <c r="N372">
        <v>13042352.5</v>
      </c>
      <c r="O372">
        <v>12211747.300000001</v>
      </c>
      <c r="P372">
        <v>12197063.800000001</v>
      </c>
    </row>
    <row r="373" spans="1:16">
      <c r="A373">
        <v>63865.94</v>
      </c>
      <c r="B373">
        <v>36</v>
      </c>
      <c r="C373" t="s">
        <v>758</v>
      </c>
      <c r="D373" t="s">
        <v>759</v>
      </c>
      <c r="E373">
        <v>33</v>
      </c>
      <c r="F373">
        <v>36</v>
      </c>
      <c r="G373">
        <v>35</v>
      </c>
      <c r="H373">
        <v>20681114</v>
      </c>
      <c r="I373">
        <v>20847458</v>
      </c>
      <c r="J373">
        <v>21069926</v>
      </c>
      <c r="K373">
        <v>24.3018105635485</v>
      </c>
      <c r="L373">
        <v>24.313368145993199</v>
      </c>
      <c r="M373">
        <v>24.328681911464901</v>
      </c>
      <c r="N373">
        <v>8238736.0999999996</v>
      </c>
      <c r="O373">
        <v>8024296</v>
      </c>
      <c r="P373">
        <v>8322374.7000000002</v>
      </c>
    </row>
    <row r="374" spans="1:16">
      <c r="A374">
        <v>24512.86</v>
      </c>
      <c r="B374">
        <v>19</v>
      </c>
      <c r="C374" t="s">
        <v>760</v>
      </c>
      <c r="D374" t="s">
        <v>761</v>
      </c>
      <c r="E374">
        <v>17</v>
      </c>
      <c r="F374">
        <v>19</v>
      </c>
      <c r="G374">
        <v>17</v>
      </c>
      <c r="H374">
        <v>50714616</v>
      </c>
      <c r="I374">
        <v>60169748</v>
      </c>
      <c r="J374">
        <v>55790228</v>
      </c>
      <c r="K374">
        <v>25.595898257433401</v>
      </c>
      <c r="L374">
        <v>25.842534978766999</v>
      </c>
      <c r="M374">
        <v>25.733509111524999</v>
      </c>
      <c r="N374">
        <v>45382597.100000001</v>
      </c>
      <c r="O374">
        <v>49099763.899999999</v>
      </c>
      <c r="P374">
        <v>47456608.100000001</v>
      </c>
    </row>
    <row r="375" spans="1:16">
      <c r="A375">
        <v>81630.75</v>
      </c>
      <c r="B375">
        <v>53</v>
      </c>
      <c r="C375" t="s">
        <v>762</v>
      </c>
      <c r="D375" t="s">
        <v>763</v>
      </c>
      <c r="E375">
        <v>52</v>
      </c>
      <c r="F375">
        <v>53</v>
      </c>
      <c r="G375">
        <v>52</v>
      </c>
      <c r="H375">
        <v>52846660</v>
      </c>
      <c r="I375">
        <v>54508040</v>
      </c>
      <c r="J375">
        <v>54712448</v>
      </c>
      <c r="K375">
        <v>25.655308957887499</v>
      </c>
      <c r="L375">
        <v>25.699965709011799</v>
      </c>
      <c r="M375">
        <v>25.7053657719051</v>
      </c>
      <c r="N375">
        <v>23468342.399999999</v>
      </c>
      <c r="O375">
        <v>23250534.5</v>
      </c>
      <c r="P375">
        <v>24227987.399999999</v>
      </c>
    </row>
    <row r="376" spans="1:16">
      <c r="A376">
        <v>17853.39</v>
      </c>
      <c r="B376">
        <v>11</v>
      </c>
      <c r="C376" t="s">
        <v>764</v>
      </c>
      <c r="D376" t="s">
        <v>765</v>
      </c>
      <c r="E376">
        <v>10</v>
      </c>
      <c r="F376">
        <v>11</v>
      </c>
      <c r="G376">
        <v>10</v>
      </c>
      <c r="H376">
        <v>9969982</v>
      </c>
      <c r="I376">
        <v>11159806</v>
      </c>
      <c r="J376">
        <v>10046556</v>
      </c>
      <c r="K376">
        <v>23.249159469280201</v>
      </c>
      <c r="L376">
        <v>23.411808612053299</v>
      </c>
      <c r="M376">
        <v>23.260197688674499</v>
      </c>
      <c r="N376">
        <v>7153044.0999999996</v>
      </c>
      <c r="O376">
        <v>6665373.4000000004</v>
      </c>
      <c r="P376">
        <v>7425208.7999999998</v>
      </c>
    </row>
    <row r="377" spans="1:16">
      <c r="A377">
        <v>39096.1</v>
      </c>
      <c r="B377">
        <v>21</v>
      </c>
      <c r="C377" t="s">
        <v>766</v>
      </c>
      <c r="D377" t="s">
        <v>767</v>
      </c>
      <c r="E377">
        <v>20</v>
      </c>
      <c r="F377">
        <v>21</v>
      </c>
      <c r="G377">
        <v>21</v>
      </c>
      <c r="H377">
        <v>108520880</v>
      </c>
      <c r="I377">
        <v>113968360</v>
      </c>
      <c r="J377">
        <v>114351320</v>
      </c>
      <c r="K377">
        <v>26.6933974107484</v>
      </c>
      <c r="L377">
        <v>26.764058116762801</v>
      </c>
      <c r="M377">
        <v>26.768897778512301</v>
      </c>
      <c r="N377">
        <v>48933213.799999997</v>
      </c>
      <c r="O377">
        <v>44987994.700000003</v>
      </c>
      <c r="P377">
        <v>48420016.799999997</v>
      </c>
    </row>
    <row r="378" spans="1:16">
      <c r="A378">
        <v>10361.450000000001</v>
      </c>
      <c r="B378">
        <v>1</v>
      </c>
      <c r="C378" t="s">
        <v>768</v>
      </c>
      <c r="D378" t="s">
        <v>769</v>
      </c>
      <c r="E378">
        <v>1</v>
      </c>
      <c r="F378">
        <v>1</v>
      </c>
      <c r="G378">
        <v>1</v>
      </c>
      <c r="H378">
        <v>643047.4375</v>
      </c>
      <c r="I378">
        <v>596920.8125</v>
      </c>
      <c r="J378">
        <v>509684.9375</v>
      </c>
      <c r="K378">
        <v>19.294565643283299</v>
      </c>
      <c r="L378">
        <v>19.187180030732598</v>
      </c>
      <c r="M378">
        <v>18.959246192963299</v>
      </c>
      <c r="N378">
        <v>128609.5</v>
      </c>
      <c r="O378">
        <v>119384.2</v>
      </c>
      <c r="P378">
        <v>101937</v>
      </c>
    </row>
    <row r="379" spans="1:16">
      <c r="A379">
        <v>82062.720000000001</v>
      </c>
      <c r="B379">
        <v>40</v>
      </c>
      <c r="C379" t="s">
        <v>770</v>
      </c>
      <c r="D379" t="s">
        <v>771</v>
      </c>
      <c r="E379">
        <v>40</v>
      </c>
      <c r="F379">
        <v>40</v>
      </c>
      <c r="G379">
        <v>40</v>
      </c>
      <c r="H379">
        <v>12425957</v>
      </c>
      <c r="I379">
        <v>13328428</v>
      </c>
      <c r="J379">
        <v>12795027</v>
      </c>
      <c r="K379">
        <v>23.566853631169</v>
      </c>
      <c r="L379">
        <v>23.668003298326202</v>
      </c>
      <c r="M379">
        <v>23.609079855959699</v>
      </c>
      <c r="N379">
        <v>5123539.3</v>
      </c>
      <c r="O379">
        <v>5230950.2</v>
      </c>
      <c r="P379">
        <v>5274794.7</v>
      </c>
    </row>
    <row r="380" spans="1:16">
      <c r="A380">
        <v>17719.009999999998</v>
      </c>
      <c r="B380">
        <v>6</v>
      </c>
      <c r="C380" t="s">
        <v>772</v>
      </c>
      <c r="D380" t="s">
        <v>773</v>
      </c>
      <c r="E380">
        <v>6</v>
      </c>
      <c r="F380">
        <v>6</v>
      </c>
      <c r="G380">
        <v>4</v>
      </c>
      <c r="H380">
        <v>6178526</v>
      </c>
      <c r="I380">
        <v>7592158</v>
      </c>
      <c r="J380">
        <v>6307118</v>
      </c>
      <c r="K380">
        <v>22.558831267302999</v>
      </c>
      <c r="L380">
        <v>22.856078585845999</v>
      </c>
      <c r="M380">
        <v>22.588549494196801</v>
      </c>
      <c r="N380">
        <v>2856373.8</v>
      </c>
      <c r="O380">
        <v>3396565.4</v>
      </c>
      <c r="P380">
        <v>3034853.5</v>
      </c>
    </row>
    <row r="381" spans="1:16">
      <c r="A381">
        <v>18769.79</v>
      </c>
      <c r="B381">
        <v>9</v>
      </c>
      <c r="C381" t="s">
        <v>774</v>
      </c>
      <c r="D381" t="s">
        <v>775</v>
      </c>
      <c r="E381">
        <v>8</v>
      </c>
      <c r="F381">
        <v>9</v>
      </c>
      <c r="G381">
        <v>8</v>
      </c>
      <c r="H381">
        <v>18141658</v>
      </c>
      <c r="I381">
        <v>19183274</v>
      </c>
      <c r="J381">
        <v>18354474</v>
      </c>
      <c r="K381">
        <v>24.112802976697001</v>
      </c>
      <c r="L381">
        <v>24.193345629639101</v>
      </c>
      <c r="M381">
        <v>24.129628434684602</v>
      </c>
      <c r="N381">
        <v>5078202.9000000004</v>
      </c>
      <c r="O381">
        <v>5158223</v>
      </c>
      <c r="P381">
        <v>5814802.4000000004</v>
      </c>
    </row>
    <row r="382" spans="1:16">
      <c r="A382">
        <v>9713.83</v>
      </c>
      <c r="B382">
        <v>2</v>
      </c>
      <c r="C382" t="s">
        <v>776</v>
      </c>
      <c r="D382" t="s">
        <v>777</v>
      </c>
      <c r="E382">
        <v>2</v>
      </c>
      <c r="F382">
        <v>2</v>
      </c>
      <c r="G382">
        <v>2</v>
      </c>
      <c r="H382">
        <v>11367448</v>
      </c>
      <c r="I382">
        <v>12663643</v>
      </c>
      <c r="J382">
        <v>12337623</v>
      </c>
      <c r="K382">
        <v>23.4384050687502</v>
      </c>
      <c r="L382">
        <v>23.5941891544431</v>
      </c>
      <c r="M382">
        <v>23.556561131921001</v>
      </c>
      <c r="N382">
        <v>4112541.1</v>
      </c>
      <c r="O382">
        <v>3894814.5</v>
      </c>
      <c r="P382">
        <v>4704456.7</v>
      </c>
    </row>
    <row r="383" spans="1:16">
      <c r="A383">
        <v>80717.570000000007</v>
      </c>
      <c r="B383">
        <v>39</v>
      </c>
      <c r="C383" t="s">
        <v>778</v>
      </c>
      <c r="D383" t="s">
        <v>779</v>
      </c>
      <c r="E383">
        <v>37</v>
      </c>
      <c r="F383">
        <v>38</v>
      </c>
      <c r="G383">
        <v>37</v>
      </c>
      <c r="H383">
        <v>203656464</v>
      </c>
      <c r="I383">
        <v>223114352</v>
      </c>
      <c r="J383">
        <v>231001616</v>
      </c>
      <c r="K383">
        <v>27.601562364909601</v>
      </c>
      <c r="L383">
        <v>27.733208078119102</v>
      </c>
      <c r="M383">
        <v>27.783327703324701</v>
      </c>
      <c r="N383">
        <v>71421724.400000006</v>
      </c>
      <c r="O383">
        <v>68269799.200000003</v>
      </c>
      <c r="P383">
        <v>80908986.599999994</v>
      </c>
    </row>
    <row r="384" spans="1:16">
      <c r="A384">
        <v>105899.27</v>
      </c>
      <c r="B384">
        <v>43</v>
      </c>
      <c r="C384" t="s">
        <v>780</v>
      </c>
      <c r="D384" t="s">
        <v>781</v>
      </c>
      <c r="E384">
        <v>42</v>
      </c>
      <c r="F384">
        <v>43</v>
      </c>
      <c r="G384">
        <v>40</v>
      </c>
      <c r="H384">
        <v>36248356</v>
      </c>
      <c r="I384">
        <v>35563388</v>
      </c>
      <c r="J384">
        <v>37321988</v>
      </c>
      <c r="K384">
        <v>25.111412229147899</v>
      </c>
      <c r="L384">
        <v>25.0838894354536</v>
      </c>
      <c r="M384">
        <v>25.153522499312</v>
      </c>
      <c r="N384">
        <v>7505436.0999999996</v>
      </c>
      <c r="O384">
        <v>7326646.0999999996</v>
      </c>
      <c r="P384">
        <v>7974082.2000000002</v>
      </c>
    </row>
    <row r="385" spans="1:16">
      <c r="A385">
        <v>11146.01</v>
      </c>
      <c r="B385">
        <v>7</v>
      </c>
      <c r="C385" t="s">
        <v>782</v>
      </c>
      <c r="D385" t="s">
        <v>783</v>
      </c>
      <c r="E385">
        <v>7</v>
      </c>
      <c r="F385">
        <v>7</v>
      </c>
      <c r="G385">
        <v>7</v>
      </c>
      <c r="H385">
        <v>6843530.5</v>
      </c>
      <c r="I385">
        <v>5275810.5</v>
      </c>
      <c r="J385">
        <v>5708274</v>
      </c>
      <c r="K385">
        <v>22.706309356539599</v>
      </c>
      <c r="L385">
        <v>22.330961315183501</v>
      </c>
      <c r="M385">
        <v>22.444623155881601</v>
      </c>
      <c r="N385">
        <v>4072504.5</v>
      </c>
      <c r="O385">
        <v>3078642.8</v>
      </c>
      <c r="P385">
        <v>3325225</v>
      </c>
    </row>
    <row r="386" spans="1:16">
      <c r="A386">
        <v>52298.92</v>
      </c>
      <c r="B386">
        <v>37</v>
      </c>
      <c r="C386" t="s">
        <v>784</v>
      </c>
      <c r="D386" t="s">
        <v>785</v>
      </c>
      <c r="E386">
        <v>35</v>
      </c>
      <c r="F386">
        <v>37</v>
      </c>
      <c r="G386">
        <v>37</v>
      </c>
      <c r="H386">
        <v>21291372</v>
      </c>
      <c r="I386">
        <v>21014076</v>
      </c>
      <c r="J386">
        <v>20436704</v>
      </c>
      <c r="K386">
        <v>24.343765583180598</v>
      </c>
      <c r="L386">
        <v>24.3248526860345</v>
      </c>
      <c r="M386">
        <v>24.2846592036238</v>
      </c>
      <c r="N386">
        <v>16446780</v>
      </c>
      <c r="O386">
        <v>16566093.5</v>
      </c>
      <c r="P386">
        <v>15755362.800000001</v>
      </c>
    </row>
    <row r="387" spans="1:16">
      <c r="A387">
        <v>31686.37</v>
      </c>
      <c r="B387">
        <v>13</v>
      </c>
      <c r="C387" t="s">
        <v>786</v>
      </c>
      <c r="D387" t="s">
        <v>787</v>
      </c>
      <c r="E387">
        <v>13</v>
      </c>
      <c r="F387">
        <v>13</v>
      </c>
      <c r="G387">
        <v>13</v>
      </c>
      <c r="H387">
        <v>6886104</v>
      </c>
      <c r="I387">
        <v>6295874.5</v>
      </c>
      <c r="J387">
        <v>7184815.5</v>
      </c>
      <c r="K387">
        <v>22.715256539246099</v>
      </c>
      <c r="L387">
        <v>22.585975352222899</v>
      </c>
      <c r="M387">
        <v>22.776519679290999</v>
      </c>
      <c r="N387">
        <v>3311115.3</v>
      </c>
      <c r="O387">
        <v>3065581.6</v>
      </c>
      <c r="P387">
        <v>3347975.1</v>
      </c>
    </row>
    <row r="388" spans="1:16">
      <c r="A388">
        <v>58211.91</v>
      </c>
      <c r="B388">
        <v>30</v>
      </c>
      <c r="C388" t="s">
        <v>788</v>
      </c>
      <c r="D388" t="s">
        <v>789</v>
      </c>
      <c r="E388">
        <v>28</v>
      </c>
      <c r="F388">
        <v>29</v>
      </c>
      <c r="G388">
        <v>28</v>
      </c>
      <c r="H388">
        <v>65173152</v>
      </c>
      <c r="I388">
        <v>64349176</v>
      </c>
      <c r="J388">
        <v>66464276</v>
      </c>
      <c r="K388">
        <v>25.957774434596299</v>
      </c>
      <c r="L388">
        <v>25.9394183388684</v>
      </c>
      <c r="M388">
        <v>25.9860757764643</v>
      </c>
      <c r="N388">
        <v>18258310.800000001</v>
      </c>
      <c r="O388">
        <v>17472934.600000001</v>
      </c>
      <c r="P388">
        <v>17861223.699999999</v>
      </c>
    </row>
    <row r="389" spans="1:16">
      <c r="A389">
        <v>20634.419999999998</v>
      </c>
      <c r="B389">
        <v>10</v>
      </c>
      <c r="C389" t="s">
        <v>790</v>
      </c>
      <c r="D389" t="s">
        <v>791</v>
      </c>
      <c r="E389">
        <v>9</v>
      </c>
      <c r="F389">
        <v>10</v>
      </c>
      <c r="G389">
        <v>10</v>
      </c>
      <c r="H389">
        <v>9664868</v>
      </c>
      <c r="I389">
        <v>11156424</v>
      </c>
      <c r="J389">
        <v>12229270</v>
      </c>
      <c r="K389">
        <v>23.204318597979402</v>
      </c>
      <c r="L389">
        <v>23.411371334371001</v>
      </c>
      <c r="M389">
        <v>23.543834952066</v>
      </c>
      <c r="N389">
        <v>4289859.5</v>
      </c>
      <c r="O389">
        <v>4331709.4000000004</v>
      </c>
      <c r="P389">
        <v>4400548.0999999996</v>
      </c>
    </row>
    <row r="390" spans="1:16">
      <c r="A390">
        <v>20514.02</v>
      </c>
      <c r="B390">
        <v>11</v>
      </c>
      <c r="C390" t="s">
        <v>792</v>
      </c>
      <c r="D390" t="s">
        <v>793</v>
      </c>
      <c r="E390">
        <v>11</v>
      </c>
      <c r="F390">
        <v>11</v>
      </c>
      <c r="G390">
        <v>10</v>
      </c>
      <c r="H390">
        <v>19190366</v>
      </c>
      <c r="I390">
        <v>20641252</v>
      </c>
      <c r="J390">
        <v>21615226</v>
      </c>
      <c r="K390">
        <v>24.193878891187701</v>
      </c>
      <c r="L390">
        <v>24.299027144634</v>
      </c>
      <c r="M390">
        <v>24.365544584756002</v>
      </c>
      <c r="N390">
        <v>8029581.2999999998</v>
      </c>
      <c r="O390">
        <v>8149027.2000000002</v>
      </c>
      <c r="P390">
        <v>8756948.6999999993</v>
      </c>
    </row>
    <row r="391" spans="1:16">
      <c r="A391">
        <v>32989.96</v>
      </c>
      <c r="B391">
        <v>4</v>
      </c>
      <c r="C391" t="s">
        <v>794</v>
      </c>
      <c r="D391" t="s">
        <v>795</v>
      </c>
      <c r="E391">
        <v>4</v>
      </c>
      <c r="F391">
        <v>4</v>
      </c>
      <c r="G391">
        <v>3</v>
      </c>
      <c r="H391">
        <v>712192.6875</v>
      </c>
      <c r="I391">
        <v>568237.8125</v>
      </c>
      <c r="J391">
        <v>637061.625</v>
      </c>
      <c r="K391">
        <v>19.441908097217699</v>
      </c>
      <c r="L391">
        <v>19.116135311052499</v>
      </c>
      <c r="M391">
        <v>19.2810734101549</v>
      </c>
      <c r="N391">
        <v>203887</v>
      </c>
      <c r="O391">
        <v>159545.79999999999</v>
      </c>
      <c r="P391">
        <v>191118.5</v>
      </c>
    </row>
    <row r="392" spans="1:16">
      <c r="A392">
        <v>23170</v>
      </c>
      <c r="B392">
        <v>21</v>
      </c>
      <c r="C392" t="s">
        <v>796</v>
      </c>
      <c r="D392" t="s">
        <v>797</v>
      </c>
      <c r="E392">
        <v>21</v>
      </c>
      <c r="F392">
        <v>21</v>
      </c>
      <c r="G392">
        <v>20</v>
      </c>
      <c r="H392">
        <v>116811608</v>
      </c>
      <c r="I392">
        <v>120529136</v>
      </c>
      <c r="J392">
        <v>108449392</v>
      </c>
      <c r="K392">
        <v>26.799608406364001</v>
      </c>
      <c r="L392">
        <v>26.844806696273899</v>
      </c>
      <c r="M392">
        <v>26.692446723948201</v>
      </c>
      <c r="N392">
        <v>83353143.099999994</v>
      </c>
      <c r="O392">
        <v>83452508.5</v>
      </c>
      <c r="P392">
        <v>80961902</v>
      </c>
    </row>
    <row r="393" spans="1:16">
      <c r="A393">
        <v>45648.22</v>
      </c>
      <c r="B393">
        <v>28</v>
      </c>
      <c r="C393" t="s">
        <v>798</v>
      </c>
      <c r="D393" t="s">
        <v>799</v>
      </c>
      <c r="E393">
        <v>27</v>
      </c>
      <c r="F393">
        <v>28</v>
      </c>
      <c r="G393">
        <v>28</v>
      </c>
      <c r="H393">
        <v>34148136</v>
      </c>
      <c r="I393">
        <v>35205328</v>
      </c>
      <c r="J393">
        <v>33496006</v>
      </c>
      <c r="K393">
        <v>25.025303494353501</v>
      </c>
      <c r="L393">
        <v>25.069290448116501</v>
      </c>
      <c r="M393">
        <v>24.9974857458263</v>
      </c>
      <c r="N393">
        <v>16160387.699999999</v>
      </c>
      <c r="O393">
        <v>16355836.1</v>
      </c>
      <c r="P393">
        <v>16423178.6</v>
      </c>
    </row>
    <row r="394" spans="1:16">
      <c r="A394">
        <v>16044.3</v>
      </c>
      <c r="B394">
        <v>10</v>
      </c>
      <c r="C394" t="s">
        <v>800</v>
      </c>
      <c r="D394" t="s">
        <v>801</v>
      </c>
      <c r="E394">
        <v>10</v>
      </c>
      <c r="F394">
        <v>10</v>
      </c>
      <c r="G394">
        <v>9</v>
      </c>
      <c r="H394">
        <v>8064652.5</v>
      </c>
      <c r="I394">
        <v>8535095</v>
      </c>
      <c r="J394">
        <v>7868846.5</v>
      </c>
      <c r="K394">
        <v>22.943180939366201</v>
      </c>
      <c r="L394">
        <v>23.024975780604802</v>
      </c>
      <c r="M394">
        <v>22.907720734828398</v>
      </c>
      <c r="N394">
        <v>7239185.2999999998</v>
      </c>
      <c r="O394">
        <v>7534009.9000000004</v>
      </c>
      <c r="P394">
        <v>6918737</v>
      </c>
    </row>
    <row r="395" spans="1:16">
      <c r="A395">
        <v>141129.88</v>
      </c>
      <c r="B395">
        <v>118</v>
      </c>
      <c r="C395" t="s">
        <v>802</v>
      </c>
      <c r="D395" t="s">
        <v>803</v>
      </c>
      <c r="E395">
        <v>114</v>
      </c>
      <c r="F395">
        <v>118</v>
      </c>
      <c r="G395">
        <v>113</v>
      </c>
      <c r="H395">
        <v>91815400</v>
      </c>
      <c r="I395">
        <v>89984000</v>
      </c>
      <c r="J395">
        <v>90079144</v>
      </c>
      <c r="K395">
        <v>26.4522328182893</v>
      </c>
      <c r="L395">
        <v>26.423165163734598</v>
      </c>
      <c r="M395">
        <v>26.424689782117799</v>
      </c>
      <c r="N395">
        <v>28320854</v>
      </c>
      <c r="O395">
        <v>28910600.399999999</v>
      </c>
      <c r="P395">
        <v>30228052</v>
      </c>
    </row>
    <row r="396" spans="1:16">
      <c r="A396">
        <v>144900.51999999999</v>
      </c>
      <c r="B396">
        <v>103</v>
      </c>
      <c r="C396" t="s">
        <v>804</v>
      </c>
      <c r="D396" t="s">
        <v>805</v>
      </c>
      <c r="E396">
        <v>98</v>
      </c>
      <c r="F396">
        <v>103</v>
      </c>
      <c r="G396">
        <v>97</v>
      </c>
      <c r="H396">
        <v>131777440</v>
      </c>
      <c r="I396">
        <v>139198880</v>
      </c>
      <c r="J396">
        <v>133192088</v>
      </c>
      <c r="K396">
        <v>26.973528164452699</v>
      </c>
      <c r="L396">
        <v>27.0525723623477</v>
      </c>
      <c r="M396">
        <v>26.9889331437439</v>
      </c>
      <c r="N396">
        <v>31912781.600000001</v>
      </c>
      <c r="O396">
        <v>31833622.300000001</v>
      </c>
      <c r="P396">
        <v>32185117.5</v>
      </c>
    </row>
    <row r="397" spans="1:16">
      <c r="A397">
        <v>46404.24</v>
      </c>
      <c r="B397">
        <v>19</v>
      </c>
      <c r="C397" t="s">
        <v>806</v>
      </c>
      <c r="D397" t="s">
        <v>807</v>
      </c>
      <c r="E397">
        <v>19</v>
      </c>
      <c r="F397">
        <v>19</v>
      </c>
      <c r="G397">
        <v>19</v>
      </c>
      <c r="H397">
        <v>5605362</v>
      </c>
      <c r="I397">
        <v>6219267</v>
      </c>
      <c r="J397">
        <v>5766463.5</v>
      </c>
      <c r="K397">
        <v>22.418376116082001</v>
      </c>
      <c r="L397">
        <v>22.568313124313399</v>
      </c>
      <c r="M397">
        <v>22.459255372559401</v>
      </c>
      <c r="N397">
        <v>1531107.7</v>
      </c>
      <c r="O397">
        <v>1725866.7</v>
      </c>
      <c r="P397">
        <v>1655508</v>
      </c>
    </row>
    <row r="398" spans="1:16">
      <c r="A398">
        <v>12876.08</v>
      </c>
      <c r="B398">
        <v>11</v>
      </c>
      <c r="C398" t="s">
        <v>808</v>
      </c>
      <c r="D398" t="s">
        <v>809</v>
      </c>
      <c r="E398">
        <v>11</v>
      </c>
      <c r="F398">
        <v>11</v>
      </c>
      <c r="G398">
        <v>11</v>
      </c>
      <c r="H398">
        <v>230583616</v>
      </c>
      <c r="I398">
        <v>160185392</v>
      </c>
      <c r="J398">
        <v>298747136</v>
      </c>
      <c r="K398">
        <v>27.780714765777599</v>
      </c>
      <c r="L398">
        <v>27.255167347232</v>
      </c>
      <c r="M398">
        <v>28.154349641570001</v>
      </c>
      <c r="N398">
        <v>236260086.5</v>
      </c>
      <c r="O398">
        <v>152824525.80000001</v>
      </c>
      <c r="P398">
        <v>227250165.09999999</v>
      </c>
    </row>
    <row r="399" spans="1:16">
      <c r="A399">
        <v>18093.04</v>
      </c>
      <c r="B399">
        <v>14</v>
      </c>
      <c r="C399" t="s">
        <v>810</v>
      </c>
      <c r="D399" t="s">
        <v>811</v>
      </c>
      <c r="E399">
        <v>14</v>
      </c>
      <c r="F399">
        <v>14</v>
      </c>
      <c r="G399">
        <v>14</v>
      </c>
      <c r="H399">
        <v>78214120</v>
      </c>
      <c r="I399">
        <v>91337888</v>
      </c>
      <c r="J399">
        <v>79949944</v>
      </c>
      <c r="K399">
        <v>26.220925745082901</v>
      </c>
      <c r="L399">
        <v>26.4447100949705</v>
      </c>
      <c r="M399">
        <v>26.252593687398601</v>
      </c>
      <c r="N399">
        <v>63756422.200000003</v>
      </c>
      <c r="O399">
        <v>68735255.400000006</v>
      </c>
      <c r="P399">
        <v>68561433.200000003</v>
      </c>
    </row>
    <row r="400" spans="1:16">
      <c r="A400">
        <v>24954.05</v>
      </c>
      <c r="B400">
        <v>24</v>
      </c>
      <c r="C400" t="s">
        <v>812</v>
      </c>
      <c r="D400" t="s">
        <v>813</v>
      </c>
      <c r="E400">
        <v>24</v>
      </c>
      <c r="F400">
        <v>23</v>
      </c>
      <c r="G400">
        <v>23</v>
      </c>
      <c r="H400">
        <v>138145552</v>
      </c>
      <c r="I400">
        <v>158756848</v>
      </c>
      <c r="J400">
        <v>149313440</v>
      </c>
      <c r="K400">
        <v>27.041613870211599</v>
      </c>
      <c r="L400">
        <v>27.242243583188799</v>
      </c>
      <c r="M400">
        <v>27.153768790269002</v>
      </c>
      <c r="N400">
        <v>93188414.900000006</v>
      </c>
      <c r="O400">
        <v>89578190.599999994</v>
      </c>
      <c r="P400">
        <v>107349409.09999999</v>
      </c>
    </row>
    <row r="401" spans="1:16">
      <c r="A401">
        <v>15514.08</v>
      </c>
      <c r="B401">
        <v>20</v>
      </c>
      <c r="C401" t="s">
        <v>814</v>
      </c>
      <c r="D401" t="s">
        <v>815</v>
      </c>
      <c r="E401">
        <v>19</v>
      </c>
      <c r="F401">
        <v>20</v>
      </c>
      <c r="G401">
        <v>19</v>
      </c>
      <c r="H401">
        <v>69506408</v>
      </c>
      <c r="I401">
        <v>74603352</v>
      </c>
      <c r="J401">
        <v>68423256</v>
      </c>
      <c r="K401">
        <v>26.050642654474299</v>
      </c>
      <c r="L401">
        <v>26.1527371178171</v>
      </c>
      <c r="M401">
        <v>26.027983422267699</v>
      </c>
      <c r="N401">
        <v>90831108.200000003</v>
      </c>
      <c r="O401">
        <v>90856330.099999994</v>
      </c>
      <c r="P401">
        <v>98152156.099999994</v>
      </c>
    </row>
    <row r="402" spans="1:16">
      <c r="A402">
        <v>37691.71</v>
      </c>
      <c r="B402">
        <v>31</v>
      </c>
      <c r="C402" t="s">
        <v>816</v>
      </c>
      <c r="D402" t="s">
        <v>817</v>
      </c>
      <c r="E402">
        <v>27</v>
      </c>
      <c r="F402">
        <v>31</v>
      </c>
      <c r="G402">
        <v>27</v>
      </c>
      <c r="H402">
        <v>55988384</v>
      </c>
      <c r="I402">
        <v>58972312</v>
      </c>
      <c r="J402">
        <v>56133524</v>
      </c>
      <c r="K402">
        <v>25.738624204169</v>
      </c>
      <c r="L402">
        <v>25.813534420106901</v>
      </c>
      <c r="M402">
        <v>25.742359297139298</v>
      </c>
      <c r="N402">
        <v>21988190.300000001</v>
      </c>
      <c r="O402">
        <v>21015421.5</v>
      </c>
      <c r="P402">
        <v>21273302.600000001</v>
      </c>
    </row>
    <row r="403" spans="1:16">
      <c r="A403">
        <v>46415.839999999997</v>
      </c>
      <c r="B403">
        <v>29</v>
      </c>
      <c r="C403" t="s">
        <v>818</v>
      </c>
      <c r="D403" t="s">
        <v>819</v>
      </c>
      <c r="E403">
        <v>28</v>
      </c>
      <c r="F403">
        <v>29</v>
      </c>
      <c r="G403">
        <v>29</v>
      </c>
      <c r="H403">
        <v>21273064</v>
      </c>
      <c r="I403">
        <v>19187534</v>
      </c>
      <c r="J403">
        <v>21445190</v>
      </c>
      <c r="K403">
        <v>24.342524506595598</v>
      </c>
      <c r="L403">
        <v>24.193665971128901</v>
      </c>
      <c r="M403">
        <v>24.354150762224801</v>
      </c>
      <c r="N403">
        <v>10388766.1</v>
      </c>
      <c r="O403">
        <v>8953119.5999999996</v>
      </c>
      <c r="P403">
        <v>10460478.4</v>
      </c>
    </row>
    <row r="404" spans="1:16">
      <c r="A404">
        <v>35793.1</v>
      </c>
      <c r="B404">
        <v>21</v>
      </c>
      <c r="C404" t="s">
        <v>820</v>
      </c>
      <c r="D404" t="s">
        <v>821</v>
      </c>
      <c r="E404">
        <v>20</v>
      </c>
      <c r="F404">
        <v>21</v>
      </c>
      <c r="G404">
        <v>20</v>
      </c>
      <c r="H404">
        <v>4737189</v>
      </c>
      <c r="I404">
        <v>4311768</v>
      </c>
      <c r="J404">
        <v>4444687</v>
      </c>
      <c r="K404">
        <v>22.1755998017086</v>
      </c>
      <c r="L404">
        <v>22.039848123515199</v>
      </c>
      <c r="M404">
        <v>22.083650395702598</v>
      </c>
      <c r="N404">
        <v>1797161.3</v>
      </c>
      <c r="O404">
        <v>1831072.1</v>
      </c>
      <c r="P404">
        <v>1895430</v>
      </c>
    </row>
    <row r="405" spans="1:16">
      <c r="A405">
        <v>53994.23</v>
      </c>
      <c r="B405">
        <v>21</v>
      </c>
      <c r="C405" t="s">
        <v>822</v>
      </c>
      <c r="D405" t="s">
        <v>823</v>
      </c>
      <c r="E405">
        <v>21</v>
      </c>
      <c r="F405">
        <v>21</v>
      </c>
      <c r="G405">
        <v>20</v>
      </c>
      <c r="H405">
        <v>26721884</v>
      </c>
      <c r="I405">
        <v>30449328</v>
      </c>
      <c r="J405">
        <v>26822182</v>
      </c>
      <c r="K405">
        <v>24.671518391396202</v>
      </c>
      <c r="L405">
        <v>24.859907053204701</v>
      </c>
      <c r="M405">
        <v>24.6769232703029</v>
      </c>
      <c r="N405">
        <v>6389883.5999999996</v>
      </c>
      <c r="O405">
        <v>5566480.7000000002</v>
      </c>
      <c r="P405">
        <v>6087056.2999999998</v>
      </c>
    </row>
    <row r="406" spans="1:16">
      <c r="A406">
        <v>33531.58</v>
      </c>
      <c r="B406">
        <v>19</v>
      </c>
      <c r="C406" t="s">
        <v>824</v>
      </c>
      <c r="D406" t="s">
        <v>825</v>
      </c>
      <c r="E406">
        <v>19</v>
      </c>
      <c r="F406">
        <v>19</v>
      </c>
      <c r="G406">
        <v>19</v>
      </c>
      <c r="H406">
        <v>19271554</v>
      </c>
      <c r="I406">
        <v>17699508</v>
      </c>
      <c r="J406">
        <v>17569750</v>
      </c>
      <c r="K406">
        <v>24.1999695751134</v>
      </c>
      <c r="L406">
        <v>24.077205921930801</v>
      </c>
      <c r="M406">
        <v>24.0665903275939</v>
      </c>
      <c r="N406">
        <v>6058442.5999999996</v>
      </c>
      <c r="O406">
        <v>6553799.7000000002</v>
      </c>
      <c r="P406">
        <v>6764078.5999999996</v>
      </c>
    </row>
    <row r="407" spans="1:16">
      <c r="A407">
        <v>62669.01</v>
      </c>
      <c r="B407">
        <v>13</v>
      </c>
      <c r="C407" t="s">
        <v>826</v>
      </c>
      <c r="D407" t="s">
        <v>827</v>
      </c>
      <c r="E407">
        <v>12</v>
      </c>
      <c r="F407">
        <v>12</v>
      </c>
      <c r="G407">
        <v>13</v>
      </c>
      <c r="H407">
        <v>1923446</v>
      </c>
      <c r="I407">
        <v>1900823.5</v>
      </c>
      <c r="J407">
        <v>1956868.375</v>
      </c>
      <c r="K407">
        <v>20.875261896423801</v>
      </c>
      <c r="L407">
        <v>20.858193146814902</v>
      </c>
      <c r="M407">
        <v>20.900115288436002</v>
      </c>
      <c r="N407">
        <v>423907.9</v>
      </c>
      <c r="O407">
        <v>432589.7</v>
      </c>
      <c r="P407">
        <v>431531.7</v>
      </c>
    </row>
    <row r="408" spans="1:16">
      <c r="A408">
        <v>35856.85</v>
      </c>
      <c r="B408">
        <v>21</v>
      </c>
      <c r="C408" t="s">
        <v>828</v>
      </c>
      <c r="D408" t="s">
        <v>829</v>
      </c>
      <c r="E408">
        <v>19</v>
      </c>
      <c r="F408">
        <v>19</v>
      </c>
      <c r="G408">
        <v>21</v>
      </c>
      <c r="H408">
        <v>26164536</v>
      </c>
      <c r="I408">
        <v>25919344</v>
      </c>
      <c r="J408">
        <v>25094520</v>
      </c>
      <c r="K408">
        <v>24.6411093387409</v>
      </c>
      <c r="L408">
        <v>24.627525869319701</v>
      </c>
      <c r="M408">
        <v>24.5808690151608</v>
      </c>
      <c r="N408">
        <v>6718725.7999999998</v>
      </c>
      <c r="O408">
        <v>6713727.2999999998</v>
      </c>
      <c r="P408">
        <v>6695175.0999999996</v>
      </c>
    </row>
    <row r="409" spans="1:16">
      <c r="A409">
        <v>24995.18</v>
      </c>
      <c r="B409">
        <v>2</v>
      </c>
      <c r="C409" t="s">
        <v>830</v>
      </c>
      <c r="D409" t="s">
        <v>831</v>
      </c>
      <c r="E409">
        <v>1</v>
      </c>
      <c r="F409">
        <v>2</v>
      </c>
      <c r="G409">
        <v>1</v>
      </c>
      <c r="H409">
        <v>4182884.25</v>
      </c>
      <c r="I409">
        <v>4030333</v>
      </c>
      <c r="J409">
        <v>5210142.5</v>
      </c>
      <c r="K409">
        <v>21.9960666451781</v>
      </c>
      <c r="L409">
        <v>21.942467613437501</v>
      </c>
      <c r="M409">
        <v>22.3128914007976</v>
      </c>
      <c r="N409">
        <v>464764.9</v>
      </c>
      <c r="O409">
        <v>462163.6</v>
      </c>
      <c r="P409">
        <v>578904.69999999995</v>
      </c>
    </row>
    <row r="410" spans="1:16">
      <c r="A410">
        <v>43442.44</v>
      </c>
      <c r="B410">
        <v>12</v>
      </c>
      <c r="C410" t="s">
        <v>832</v>
      </c>
      <c r="D410" t="s">
        <v>833</v>
      </c>
      <c r="E410">
        <v>12</v>
      </c>
      <c r="F410">
        <v>12</v>
      </c>
      <c r="G410">
        <v>10</v>
      </c>
      <c r="H410">
        <v>2233967.5</v>
      </c>
      <c r="I410">
        <v>2193443.75</v>
      </c>
      <c r="J410">
        <v>2144921.75</v>
      </c>
      <c r="K410">
        <v>21.091176766815099</v>
      </c>
      <c r="L410">
        <v>21.0647662788102</v>
      </c>
      <c r="M410">
        <v>21.032493586304799</v>
      </c>
      <c r="N410">
        <v>725952.8</v>
      </c>
      <c r="O410">
        <v>738684.2</v>
      </c>
      <c r="P410">
        <v>777288.8</v>
      </c>
    </row>
    <row r="411" spans="1:16">
      <c r="A411">
        <v>106498.85</v>
      </c>
      <c r="B411">
        <v>60</v>
      </c>
      <c r="C411" t="s">
        <v>834</v>
      </c>
      <c r="D411" t="s">
        <v>835</v>
      </c>
      <c r="E411">
        <v>58</v>
      </c>
      <c r="F411">
        <v>60</v>
      </c>
      <c r="G411">
        <v>57</v>
      </c>
      <c r="H411">
        <v>27312158</v>
      </c>
      <c r="I411">
        <v>29366562</v>
      </c>
      <c r="J411">
        <v>27930198</v>
      </c>
      <c r="K411">
        <v>24.703039973660701</v>
      </c>
      <c r="L411">
        <v>24.807671040671799</v>
      </c>
      <c r="M411">
        <v>24.735322465276699</v>
      </c>
      <c r="N411">
        <v>5280171.3</v>
      </c>
      <c r="O411">
        <v>5341051.7</v>
      </c>
      <c r="P411">
        <v>5325923.7</v>
      </c>
    </row>
    <row r="412" spans="1:16">
      <c r="A412">
        <v>76555.75</v>
      </c>
      <c r="B412">
        <v>40</v>
      </c>
      <c r="C412" t="s">
        <v>836</v>
      </c>
      <c r="D412" t="s">
        <v>837</v>
      </c>
      <c r="E412">
        <v>40</v>
      </c>
      <c r="F412">
        <v>40</v>
      </c>
      <c r="G412">
        <v>38</v>
      </c>
      <c r="H412">
        <v>4342783.5</v>
      </c>
      <c r="I412">
        <v>4473133.5</v>
      </c>
      <c r="J412">
        <v>4111573.5</v>
      </c>
      <c r="K412">
        <v>22.050188601493801</v>
      </c>
      <c r="L412">
        <v>22.092854385326799</v>
      </c>
      <c r="M412">
        <v>21.9712591885866</v>
      </c>
      <c r="N412">
        <v>1504162.5</v>
      </c>
      <c r="O412">
        <v>1615114</v>
      </c>
      <c r="P412">
        <v>1512045.7</v>
      </c>
    </row>
    <row r="413" spans="1:16">
      <c r="A413">
        <v>37522.46</v>
      </c>
      <c r="B413">
        <v>11</v>
      </c>
      <c r="C413" t="s">
        <v>838</v>
      </c>
      <c r="D413" t="s">
        <v>839</v>
      </c>
      <c r="E413">
        <v>11</v>
      </c>
      <c r="F413">
        <v>11</v>
      </c>
      <c r="G413">
        <v>11</v>
      </c>
      <c r="H413">
        <v>8711500</v>
      </c>
      <c r="I413">
        <v>9362217</v>
      </c>
      <c r="J413">
        <v>8771459</v>
      </c>
      <c r="K413">
        <v>23.054489721700701</v>
      </c>
      <c r="L413">
        <v>23.158418773937701</v>
      </c>
      <c r="M413">
        <v>23.064385402529599</v>
      </c>
      <c r="N413">
        <v>1658693.6</v>
      </c>
      <c r="O413">
        <v>2303040.2999999998</v>
      </c>
      <c r="P413">
        <v>2138232.6</v>
      </c>
    </row>
    <row r="414" spans="1:16">
      <c r="A414">
        <v>56391.01</v>
      </c>
      <c r="B414">
        <v>17</v>
      </c>
      <c r="C414" t="s">
        <v>840</v>
      </c>
      <c r="D414" t="s">
        <v>841</v>
      </c>
      <c r="E414">
        <v>17</v>
      </c>
      <c r="F414">
        <v>17</v>
      </c>
      <c r="G414">
        <v>16</v>
      </c>
      <c r="H414">
        <v>21472354</v>
      </c>
      <c r="I414">
        <v>25374544</v>
      </c>
      <c r="J414">
        <v>23344114</v>
      </c>
      <c r="K414">
        <v>24.355977025783702</v>
      </c>
      <c r="L414">
        <v>24.5968785604068</v>
      </c>
      <c r="M414">
        <v>24.476555497937799</v>
      </c>
      <c r="N414">
        <v>9013413.8000000007</v>
      </c>
      <c r="O414">
        <v>10175161.699999999</v>
      </c>
      <c r="P414">
        <v>9037757.4000000004</v>
      </c>
    </row>
    <row r="415" spans="1:16">
      <c r="A415">
        <v>9953.39</v>
      </c>
      <c r="B415">
        <v>2</v>
      </c>
      <c r="C415" t="s">
        <v>842</v>
      </c>
      <c r="D415" t="s">
        <v>843</v>
      </c>
      <c r="E415">
        <v>2</v>
      </c>
      <c r="F415">
        <v>2</v>
      </c>
      <c r="G415">
        <v>1</v>
      </c>
      <c r="H415">
        <v>28308.140625</v>
      </c>
      <c r="I415">
        <v>20015.005859375</v>
      </c>
      <c r="J415">
        <v>10003.6943359375</v>
      </c>
      <c r="K415">
        <v>14.7889293707857</v>
      </c>
      <c r="L415">
        <v>14.288794417622601</v>
      </c>
      <c r="M415">
        <v>13.2882452611369</v>
      </c>
      <c r="N415">
        <v>13861.7</v>
      </c>
      <c r="O415">
        <v>10007.5</v>
      </c>
      <c r="P415">
        <v>3513.5</v>
      </c>
    </row>
    <row r="416" spans="1:16">
      <c r="A416">
        <v>38357.089999999997</v>
      </c>
      <c r="B416">
        <v>28</v>
      </c>
      <c r="C416" t="s">
        <v>844</v>
      </c>
      <c r="D416" t="s">
        <v>845</v>
      </c>
      <c r="E416">
        <v>27</v>
      </c>
      <c r="F416">
        <v>26</v>
      </c>
      <c r="G416">
        <v>25</v>
      </c>
      <c r="H416">
        <v>96301976</v>
      </c>
      <c r="I416">
        <v>104355464</v>
      </c>
      <c r="J416">
        <v>99349056</v>
      </c>
      <c r="K416">
        <v>26.5210620649402</v>
      </c>
      <c r="L416">
        <v>26.636930900366401</v>
      </c>
      <c r="M416">
        <v>26.5660029234772</v>
      </c>
      <c r="N416">
        <v>64565646.100000001</v>
      </c>
      <c r="O416">
        <v>72411784</v>
      </c>
      <c r="P416">
        <v>68843246</v>
      </c>
    </row>
    <row r="417" spans="1:16">
      <c r="A417">
        <v>21717.11</v>
      </c>
      <c r="B417">
        <v>16</v>
      </c>
      <c r="C417" t="s">
        <v>846</v>
      </c>
      <c r="D417" t="s">
        <v>847</v>
      </c>
      <c r="E417">
        <v>14</v>
      </c>
      <c r="F417">
        <v>16</v>
      </c>
      <c r="G417">
        <v>14</v>
      </c>
      <c r="H417">
        <v>16914546</v>
      </c>
      <c r="I417">
        <v>16416447</v>
      </c>
      <c r="J417">
        <v>18065026</v>
      </c>
      <c r="K417">
        <v>24.0117611187694</v>
      </c>
      <c r="L417">
        <v>23.968638583645301</v>
      </c>
      <c r="M417">
        <v>24.106695995375102</v>
      </c>
      <c r="N417">
        <v>8016338.5999999996</v>
      </c>
      <c r="O417">
        <v>7777025.2999999998</v>
      </c>
      <c r="P417">
        <v>8533158.8000000007</v>
      </c>
    </row>
    <row r="418" spans="1:16">
      <c r="A418">
        <v>16985.759999999998</v>
      </c>
      <c r="B418">
        <v>10</v>
      </c>
      <c r="C418" t="s">
        <v>848</v>
      </c>
      <c r="D418" t="s">
        <v>849</v>
      </c>
      <c r="E418">
        <v>10</v>
      </c>
      <c r="F418">
        <v>10</v>
      </c>
      <c r="G418">
        <v>9</v>
      </c>
      <c r="H418">
        <v>34216680</v>
      </c>
      <c r="I418">
        <v>33977788</v>
      </c>
      <c r="J418">
        <v>39137456</v>
      </c>
      <c r="K418">
        <v>25.028196448004302</v>
      </c>
      <c r="L418">
        <v>25.0180885983903</v>
      </c>
      <c r="M418">
        <v>25.222046645636901</v>
      </c>
      <c r="N418">
        <v>16108594.5</v>
      </c>
      <c r="O418">
        <v>16861441.199999999</v>
      </c>
      <c r="P418">
        <v>18905977.100000001</v>
      </c>
    </row>
    <row r="419" spans="1:16">
      <c r="A419">
        <v>49846.400000000001</v>
      </c>
      <c r="B419">
        <v>25</v>
      </c>
      <c r="C419" t="s">
        <v>850</v>
      </c>
      <c r="D419" t="s">
        <v>851</v>
      </c>
      <c r="E419">
        <v>25</v>
      </c>
      <c r="F419">
        <v>25</v>
      </c>
      <c r="G419">
        <v>24</v>
      </c>
      <c r="H419">
        <v>31135176</v>
      </c>
      <c r="I419">
        <v>30965612</v>
      </c>
      <c r="J419">
        <v>30256228</v>
      </c>
      <c r="K419">
        <v>24.8920420986735</v>
      </c>
      <c r="L419">
        <v>24.884163623770601</v>
      </c>
      <c r="M419">
        <v>24.8507288042812</v>
      </c>
      <c r="N419">
        <v>12716499.800000001</v>
      </c>
      <c r="O419">
        <v>13881543.800000001</v>
      </c>
      <c r="P419">
        <v>12815955.800000001</v>
      </c>
    </row>
    <row r="420" spans="1:16">
      <c r="A420">
        <v>49365.94</v>
      </c>
      <c r="B420">
        <v>36</v>
      </c>
      <c r="C420" t="s">
        <v>852</v>
      </c>
      <c r="D420" t="s">
        <v>853</v>
      </c>
      <c r="E420">
        <v>32</v>
      </c>
      <c r="F420">
        <v>35</v>
      </c>
      <c r="G420">
        <v>33</v>
      </c>
      <c r="H420">
        <v>15192826</v>
      </c>
      <c r="I420">
        <v>15225159</v>
      </c>
      <c r="J420">
        <v>15353289</v>
      </c>
      <c r="K420">
        <v>23.856886913049401</v>
      </c>
      <c r="L420">
        <v>23.859953958833302</v>
      </c>
      <c r="M420">
        <v>23.872044408778301</v>
      </c>
      <c r="N420">
        <v>6692478.2000000002</v>
      </c>
      <c r="O420">
        <v>7000603.0999999996</v>
      </c>
      <c r="P420">
        <v>7297336.2000000002</v>
      </c>
    </row>
    <row r="421" spans="1:16">
      <c r="A421">
        <v>34671.339999999997</v>
      </c>
      <c r="B421">
        <v>5</v>
      </c>
      <c r="C421" t="s">
        <v>854</v>
      </c>
      <c r="D421" t="s">
        <v>855</v>
      </c>
      <c r="E421">
        <v>5</v>
      </c>
      <c r="F421">
        <v>5</v>
      </c>
      <c r="G421">
        <v>5</v>
      </c>
      <c r="H421">
        <v>972718.3125</v>
      </c>
      <c r="I421">
        <v>901592.75</v>
      </c>
      <c r="J421">
        <v>1031354</v>
      </c>
      <c r="K421">
        <v>19.891662552828201</v>
      </c>
      <c r="L421">
        <v>19.782116388814401</v>
      </c>
      <c r="M421">
        <v>19.976108174955598</v>
      </c>
      <c r="N421">
        <v>496597.4</v>
      </c>
      <c r="O421">
        <v>407724.1</v>
      </c>
      <c r="P421">
        <v>510171.1</v>
      </c>
    </row>
    <row r="422" spans="1:16">
      <c r="A422">
        <v>51777.68</v>
      </c>
      <c r="B422">
        <v>21</v>
      </c>
      <c r="C422" t="s">
        <v>856</v>
      </c>
      <c r="D422" t="s">
        <v>857</v>
      </c>
      <c r="E422">
        <v>20</v>
      </c>
      <c r="F422">
        <v>21</v>
      </c>
      <c r="G422">
        <v>21</v>
      </c>
      <c r="H422">
        <v>6084773</v>
      </c>
      <c r="I422">
        <v>6368352.5</v>
      </c>
      <c r="J422">
        <v>6326919.5</v>
      </c>
      <c r="K422">
        <v>22.536772011739998</v>
      </c>
      <c r="L422">
        <v>22.602488763234401</v>
      </c>
      <c r="M422">
        <v>22.5930718092911</v>
      </c>
      <c r="N422">
        <v>2890471.2</v>
      </c>
      <c r="O422">
        <v>2884504.3</v>
      </c>
      <c r="P422">
        <v>2934486.5</v>
      </c>
    </row>
    <row r="423" spans="1:16">
      <c r="A423">
        <v>27747.94</v>
      </c>
      <c r="B423">
        <v>15</v>
      </c>
      <c r="C423" t="s">
        <v>858</v>
      </c>
      <c r="D423" t="s">
        <v>859</v>
      </c>
      <c r="E423">
        <v>14</v>
      </c>
      <c r="F423">
        <v>15</v>
      </c>
      <c r="G423">
        <v>14</v>
      </c>
      <c r="H423">
        <v>5901833.5</v>
      </c>
      <c r="I423">
        <v>4958392.5</v>
      </c>
      <c r="J423">
        <v>5458224</v>
      </c>
      <c r="K423">
        <v>22.492731789973298</v>
      </c>
      <c r="L423">
        <v>22.241441047160802</v>
      </c>
      <c r="M423">
        <v>22.380000171898399</v>
      </c>
      <c r="N423">
        <v>1867973.2</v>
      </c>
      <c r="O423">
        <v>1709504.5</v>
      </c>
      <c r="P423">
        <v>1931640.5</v>
      </c>
    </row>
    <row r="424" spans="1:16">
      <c r="A424">
        <v>6059.06</v>
      </c>
      <c r="B424">
        <v>3</v>
      </c>
      <c r="C424" t="s">
        <v>860</v>
      </c>
      <c r="D424" t="s">
        <v>861</v>
      </c>
      <c r="E424">
        <v>3</v>
      </c>
      <c r="F424">
        <v>3</v>
      </c>
      <c r="G424">
        <v>3</v>
      </c>
      <c r="H424">
        <v>2089326.25</v>
      </c>
      <c r="I424">
        <v>2977874.5</v>
      </c>
      <c r="J424">
        <v>2741802.25</v>
      </c>
      <c r="K424">
        <v>20.994606357328301</v>
      </c>
      <c r="L424">
        <v>21.5058515233641</v>
      </c>
      <c r="M424">
        <v>21.3866930911224</v>
      </c>
      <c r="N424">
        <v>8808931.3000000007</v>
      </c>
      <c r="O424">
        <v>8225406.9000000004</v>
      </c>
      <c r="P424">
        <v>6802242.0999999996</v>
      </c>
    </row>
    <row r="425" spans="1:16">
      <c r="A425">
        <v>12763.38</v>
      </c>
      <c r="B425">
        <v>3</v>
      </c>
      <c r="C425" t="s">
        <v>862</v>
      </c>
      <c r="D425" t="s">
        <v>863</v>
      </c>
      <c r="E425">
        <v>2</v>
      </c>
      <c r="F425">
        <v>3</v>
      </c>
      <c r="G425">
        <v>2</v>
      </c>
      <c r="H425">
        <v>1144264</v>
      </c>
      <c r="I425">
        <v>900952.75</v>
      </c>
      <c r="J425">
        <v>1280786.375</v>
      </c>
      <c r="K425">
        <v>20.1259885126562</v>
      </c>
      <c r="L425">
        <v>19.781091921065901</v>
      </c>
      <c r="M425">
        <v>20.288598434988899</v>
      </c>
      <c r="N425">
        <v>762842.7</v>
      </c>
      <c r="O425">
        <v>995990.8</v>
      </c>
      <c r="P425">
        <v>1016244.8</v>
      </c>
    </row>
    <row r="426" spans="1:16">
      <c r="A426">
        <v>24042.36</v>
      </c>
      <c r="B426">
        <v>17</v>
      </c>
      <c r="C426" t="s">
        <v>864</v>
      </c>
      <c r="D426" t="s">
        <v>865</v>
      </c>
      <c r="E426">
        <v>15</v>
      </c>
      <c r="F426">
        <v>17</v>
      </c>
      <c r="G426">
        <v>17</v>
      </c>
      <c r="H426">
        <v>42544332</v>
      </c>
      <c r="I426">
        <v>48197592</v>
      </c>
      <c r="J426">
        <v>46913308</v>
      </c>
      <c r="K426">
        <v>25.342463604814299</v>
      </c>
      <c r="L426">
        <v>25.522457733977099</v>
      </c>
      <c r="M426">
        <v>25.483493897446401</v>
      </c>
      <c r="N426">
        <v>31677601.899999999</v>
      </c>
      <c r="O426">
        <v>30594820.5</v>
      </c>
      <c r="P426">
        <v>31050075.699999999</v>
      </c>
    </row>
    <row r="427" spans="1:16">
      <c r="A427">
        <v>8296.18</v>
      </c>
      <c r="B427">
        <v>1</v>
      </c>
      <c r="C427" t="s">
        <v>866</v>
      </c>
      <c r="D427" t="s">
        <v>867</v>
      </c>
      <c r="E427">
        <v>1</v>
      </c>
      <c r="F427">
        <v>1</v>
      </c>
      <c r="G427">
        <v>1</v>
      </c>
      <c r="H427">
        <v>211359.421875</v>
      </c>
      <c r="I427">
        <v>116152.8671875</v>
      </c>
      <c r="J427">
        <v>189851.6875</v>
      </c>
      <c r="K427">
        <v>17.689338899979699</v>
      </c>
      <c r="L427">
        <v>16.825665241378399</v>
      </c>
      <c r="M427">
        <v>17.5345132968705</v>
      </c>
      <c r="N427">
        <v>70453.100000000006</v>
      </c>
      <c r="O427">
        <v>38717.599999999999</v>
      </c>
      <c r="P427">
        <v>63283.9</v>
      </c>
    </row>
    <row r="428" spans="1:16">
      <c r="A428">
        <v>28710.080000000002</v>
      </c>
      <c r="B428">
        <v>9</v>
      </c>
      <c r="C428" t="s">
        <v>868</v>
      </c>
      <c r="D428" t="s">
        <v>869</v>
      </c>
      <c r="E428">
        <v>9</v>
      </c>
      <c r="F428">
        <v>9</v>
      </c>
      <c r="G428">
        <v>9</v>
      </c>
      <c r="H428">
        <v>1958531</v>
      </c>
      <c r="I428">
        <v>2046725.125</v>
      </c>
      <c r="J428">
        <v>1917269.125</v>
      </c>
      <c r="K428">
        <v>20.901340533044099</v>
      </c>
      <c r="L428">
        <v>20.964885930880801</v>
      </c>
      <c r="M428">
        <v>20.870621430092001</v>
      </c>
      <c r="N428">
        <v>878444</v>
      </c>
      <c r="O428">
        <v>938490.2</v>
      </c>
      <c r="P428">
        <v>991062.3</v>
      </c>
    </row>
    <row r="429" spans="1:16">
      <c r="A429">
        <v>75003.320000000007</v>
      </c>
      <c r="B429">
        <v>56</v>
      </c>
      <c r="C429" t="s">
        <v>870</v>
      </c>
      <c r="D429" t="s">
        <v>871</v>
      </c>
      <c r="E429">
        <v>55</v>
      </c>
      <c r="F429">
        <v>56</v>
      </c>
      <c r="G429">
        <v>54</v>
      </c>
      <c r="H429">
        <v>22061192</v>
      </c>
      <c r="I429">
        <v>23545442</v>
      </c>
      <c r="J429">
        <v>21803122</v>
      </c>
      <c r="K429">
        <v>24.395007408269901</v>
      </c>
      <c r="L429">
        <v>24.488944469678501</v>
      </c>
      <c r="M429">
        <v>24.3780313942334</v>
      </c>
      <c r="N429">
        <v>8460059.9000000004</v>
      </c>
      <c r="O429">
        <v>8970845.5</v>
      </c>
      <c r="P429">
        <v>8600689.5999999996</v>
      </c>
    </row>
    <row r="430" spans="1:16">
      <c r="A430">
        <v>64341.34</v>
      </c>
      <c r="B430">
        <v>9</v>
      </c>
      <c r="C430" t="s">
        <v>872</v>
      </c>
      <c r="D430" t="s">
        <v>873</v>
      </c>
      <c r="E430">
        <v>9</v>
      </c>
      <c r="F430">
        <v>9</v>
      </c>
      <c r="G430">
        <v>9</v>
      </c>
      <c r="H430">
        <v>2570505.5</v>
      </c>
      <c r="I430">
        <v>2322396.75</v>
      </c>
      <c r="J430">
        <v>2471062.5</v>
      </c>
      <c r="K430">
        <v>21.293620668288199</v>
      </c>
      <c r="L430">
        <v>21.147183027471701</v>
      </c>
      <c r="M430">
        <v>21.236700070197099</v>
      </c>
      <c r="N430">
        <v>646295.1</v>
      </c>
      <c r="O430">
        <v>675314.1</v>
      </c>
      <c r="P430">
        <v>683582.1</v>
      </c>
    </row>
    <row r="431" spans="1:16">
      <c r="A431">
        <v>40643.9</v>
      </c>
      <c r="B431">
        <v>19</v>
      </c>
      <c r="C431" t="s">
        <v>874</v>
      </c>
      <c r="D431" t="s">
        <v>875</v>
      </c>
      <c r="E431">
        <v>19</v>
      </c>
      <c r="F431">
        <v>19</v>
      </c>
      <c r="G431">
        <v>19</v>
      </c>
      <c r="H431">
        <v>16282532</v>
      </c>
      <c r="I431">
        <v>15406654</v>
      </c>
      <c r="J431">
        <v>16014035</v>
      </c>
      <c r="K431">
        <v>23.9568217262117</v>
      </c>
      <c r="L431">
        <v>23.877050237176601</v>
      </c>
      <c r="M431">
        <v>23.932833528658101</v>
      </c>
      <c r="N431">
        <v>5923243</v>
      </c>
      <c r="O431">
        <v>5633879</v>
      </c>
      <c r="P431">
        <v>5932301.7999999998</v>
      </c>
    </row>
    <row r="432" spans="1:16">
      <c r="A432">
        <v>8004.56</v>
      </c>
      <c r="B432">
        <v>1</v>
      </c>
      <c r="C432" t="s">
        <v>876</v>
      </c>
      <c r="D432" t="s">
        <v>877</v>
      </c>
      <c r="E432">
        <v>0</v>
      </c>
      <c r="F432">
        <v>1</v>
      </c>
      <c r="G432">
        <v>1</v>
      </c>
      <c r="H432" t="s">
        <v>878</v>
      </c>
      <c r="I432">
        <v>91613.7890625</v>
      </c>
      <c r="J432">
        <v>131101.84375</v>
      </c>
      <c r="K432" t="s">
        <v>878</v>
      </c>
      <c r="L432">
        <v>16.483277138514701</v>
      </c>
      <c r="M432">
        <v>17.0003284494722</v>
      </c>
      <c r="N432" t="s">
        <v>878</v>
      </c>
      <c r="O432">
        <v>30537.9</v>
      </c>
      <c r="P432">
        <v>43700.6</v>
      </c>
    </row>
    <row r="433" spans="1:16">
      <c r="A433">
        <v>27324.799999999999</v>
      </c>
      <c r="B433">
        <v>16</v>
      </c>
      <c r="C433" t="s">
        <v>879</v>
      </c>
      <c r="D433" t="s">
        <v>880</v>
      </c>
      <c r="E433">
        <v>15</v>
      </c>
      <c r="F433">
        <v>16</v>
      </c>
      <c r="G433">
        <v>16</v>
      </c>
      <c r="H433">
        <v>5747902</v>
      </c>
      <c r="I433">
        <v>5631000</v>
      </c>
      <c r="J433">
        <v>5682451.5</v>
      </c>
      <c r="K433">
        <v>22.454604033812601</v>
      </c>
      <c r="L433">
        <v>22.424959720214101</v>
      </c>
      <c r="M433">
        <v>22.438082034947399</v>
      </c>
      <c r="N433">
        <v>2879818.1</v>
      </c>
      <c r="O433">
        <v>2675334.6</v>
      </c>
      <c r="P433">
        <v>2906303.7</v>
      </c>
    </row>
    <row r="434" spans="1:16">
      <c r="A434">
        <v>22625.27</v>
      </c>
      <c r="B434">
        <v>6</v>
      </c>
      <c r="C434" t="s">
        <v>881</v>
      </c>
      <c r="D434" t="s">
        <v>882</v>
      </c>
      <c r="E434">
        <v>6</v>
      </c>
      <c r="F434">
        <v>6</v>
      </c>
      <c r="G434">
        <v>6</v>
      </c>
      <c r="H434">
        <v>17670736</v>
      </c>
      <c r="I434">
        <v>13701353</v>
      </c>
      <c r="J434">
        <v>17077872</v>
      </c>
      <c r="K434">
        <v>24.074858794731298</v>
      </c>
      <c r="L434">
        <v>23.7078150296608</v>
      </c>
      <c r="M434">
        <v>24.025624882359999</v>
      </c>
      <c r="N434">
        <v>6200888.7999999998</v>
      </c>
      <c r="O434">
        <v>5322662.7</v>
      </c>
      <c r="P434">
        <v>6680808.5</v>
      </c>
    </row>
    <row r="435" spans="1:16">
      <c r="A435">
        <v>57721.66</v>
      </c>
      <c r="B435">
        <v>10</v>
      </c>
      <c r="C435" t="s">
        <v>883</v>
      </c>
      <c r="D435" t="s">
        <v>884</v>
      </c>
      <c r="E435">
        <v>10</v>
      </c>
      <c r="F435">
        <v>10</v>
      </c>
      <c r="G435">
        <v>9</v>
      </c>
      <c r="H435">
        <v>14159856</v>
      </c>
      <c r="I435">
        <v>12267679</v>
      </c>
      <c r="J435">
        <v>14151284</v>
      </c>
      <c r="K435">
        <v>23.755303258082801</v>
      </c>
      <c r="L435">
        <v>23.548358986404502</v>
      </c>
      <c r="M435">
        <v>23.754429624434099</v>
      </c>
      <c r="N435">
        <v>3437794.8</v>
      </c>
      <c r="O435">
        <v>3108496.8</v>
      </c>
      <c r="P435">
        <v>3498876.8</v>
      </c>
    </row>
    <row r="436" spans="1:16">
      <c r="A436">
        <v>25717.17</v>
      </c>
      <c r="B436">
        <v>5</v>
      </c>
      <c r="C436" t="s">
        <v>885</v>
      </c>
      <c r="D436" t="s">
        <v>886</v>
      </c>
      <c r="E436">
        <v>5</v>
      </c>
      <c r="F436">
        <v>5</v>
      </c>
      <c r="G436">
        <v>4</v>
      </c>
      <c r="H436">
        <v>576560.5</v>
      </c>
      <c r="I436">
        <v>582484.25</v>
      </c>
      <c r="J436">
        <v>586419.5625</v>
      </c>
      <c r="K436">
        <v>19.137112476017901</v>
      </c>
      <c r="L436">
        <v>19.151859515183801</v>
      </c>
      <c r="M436">
        <v>19.161573705894501</v>
      </c>
      <c r="N436">
        <v>1305723.5</v>
      </c>
      <c r="O436">
        <v>1185338.1000000001</v>
      </c>
      <c r="P436">
        <v>1351778.3</v>
      </c>
    </row>
    <row r="437" spans="1:16">
      <c r="A437">
        <v>56637.120000000003</v>
      </c>
      <c r="B437">
        <v>7</v>
      </c>
      <c r="C437" t="s">
        <v>887</v>
      </c>
      <c r="D437" t="s">
        <v>888</v>
      </c>
      <c r="E437">
        <v>7</v>
      </c>
      <c r="F437">
        <v>7</v>
      </c>
      <c r="G437">
        <v>7</v>
      </c>
      <c r="H437">
        <v>16053312</v>
      </c>
      <c r="I437">
        <v>18516724</v>
      </c>
      <c r="J437">
        <v>16630887</v>
      </c>
      <c r="K437">
        <v>23.936367638383999</v>
      </c>
      <c r="L437">
        <v>24.142325542128301</v>
      </c>
      <c r="M437">
        <v>23.987361780303601</v>
      </c>
      <c r="N437">
        <v>4290355.7</v>
      </c>
      <c r="O437">
        <v>4778975.7</v>
      </c>
      <c r="P437">
        <v>4922354</v>
      </c>
    </row>
    <row r="438" spans="1:16">
      <c r="A438">
        <v>100907.29</v>
      </c>
      <c r="B438">
        <v>34</v>
      </c>
      <c r="C438" t="s">
        <v>889</v>
      </c>
      <c r="D438" t="s">
        <v>890</v>
      </c>
      <c r="E438">
        <v>32</v>
      </c>
      <c r="F438">
        <v>34</v>
      </c>
      <c r="G438">
        <v>32</v>
      </c>
      <c r="H438">
        <v>10937438</v>
      </c>
      <c r="I438">
        <v>10393734</v>
      </c>
      <c r="J438">
        <v>10740290</v>
      </c>
      <c r="K438">
        <v>23.3827715031134</v>
      </c>
      <c r="L438">
        <v>23.309210706856799</v>
      </c>
      <c r="M438">
        <v>23.3565296124616</v>
      </c>
      <c r="N438">
        <v>2171520.5</v>
      </c>
      <c r="O438">
        <v>2161887.6</v>
      </c>
      <c r="P438">
        <v>2265622.7999999998</v>
      </c>
    </row>
    <row r="439" spans="1:16">
      <c r="A439">
        <v>52822.12</v>
      </c>
      <c r="B439">
        <v>5</v>
      </c>
      <c r="C439" t="s">
        <v>891</v>
      </c>
      <c r="D439" t="s">
        <v>892</v>
      </c>
      <c r="E439">
        <v>4</v>
      </c>
      <c r="F439">
        <v>5</v>
      </c>
      <c r="G439">
        <v>5</v>
      </c>
      <c r="H439">
        <v>39965568</v>
      </c>
      <c r="I439">
        <v>26414640</v>
      </c>
      <c r="J439">
        <v>35164344</v>
      </c>
      <c r="K439">
        <v>25.252254257511701</v>
      </c>
      <c r="L439">
        <v>24.6548344120251</v>
      </c>
      <c r="M439">
        <v>25.0676099679164</v>
      </c>
      <c r="N439">
        <v>12954608.6</v>
      </c>
      <c r="O439">
        <v>10212833.5</v>
      </c>
      <c r="P439">
        <v>12648295</v>
      </c>
    </row>
    <row r="440" spans="1:16">
      <c r="A440">
        <v>70779.23</v>
      </c>
      <c r="B440">
        <v>40</v>
      </c>
      <c r="C440" t="s">
        <v>893</v>
      </c>
      <c r="D440" t="s">
        <v>894</v>
      </c>
      <c r="E440">
        <v>39</v>
      </c>
      <c r="F440">
        <v>40</v>
      </c>
      <c r="G440">
        <v>40</v>
      </c>
      <c r="H440">
        <v>12932153</v>
      </c>
      <c r="I440">
        <v>13660637</v>
      </c>
      <c r="J440">
        <v>13252674</v>
      </c>
      <c r="K440">
        <v>23.624459145380399</v>
      </c>
      <c r="L440">
        <v>23.703521422752701</v>
      </c>
      <c r="M440">
        <v>23.659780146704001</v>
      </c>
      <c r="N440">
        <v>5053666.9000000004</v>
      </c>
      <c r="O440">
        <v>5341740.2</v>
      </c>
      <c r="P440">
        <v>5951471.2999999998</v>
      </c>
    </row>
    <row r="441" spans="1:16">
      <c r="A441">
        <v>56968.21</v>
      </c>
      <c r="B441">
        <v>14</v>
      </c>
      <c r="C441" t="s">
        <v>895</v>
      </c>
      <c r="D441" t="s">
        <v>896</v>
      </c>
      <c r="E441">
        <v>13</v>
      </c>
      <c r="F441">
        <v>13</v>
      </c>
      <c r="G441">
        <v>14</v>
      </c>
      <c r="H441">
        <v>7115703</v>
      </c>
      <c r="I441">
        <v>6977917.5</v>
      </c>
      <c r="J441">
        <v>6643126</v>
      </c>
      <c r="K441">
        <v>22.762574865009402</v>
      </c>
      <c r="L441">
        <v>22.734365109956901</v>
      </c>
      <c r="M441">
        <v>22.663430847560001</v>
      </c>
      <c r="N441">
        <v>2068502.6</v>
      </c>
      <c r="O441">
        <v>1968661.4</v>
      </c>
      <c r="P441">
        <v>2097676.4</v>
      </c>
    </row>
    <row r="442" spans="1:16">
      <c r="A442">
        <v>50138.44</v>
      </c>
      <c r="B442">
        <v>23</v>
      </c>
      <c r="C442" t="s">
        <v>897</v>
      </c>
      <c r="D442" t="s">
        <v>898</v>
      </c>
      <c r="E442">
        <v>22</v>
      </c>
      <c r="F442">
        <v>22</v>
      </c>
      <c r="G442">
        <v>23</v>
      </c>
      <c r="H442">
        <v>6474505.5</v>
      </c>
      <c r="I442">
        <v>6312715.5</v>
      </c>
      <c r="J442">
        <v>6214181.5</v>
      </c>
      <c r="K442">
        <v>22.626338578348602</v>
      </c>
      <c r="L442">
        <v>22.589829302844201</v>
      </c>
      <c r="M442">
        <v>22.5671329487507</v>
      </c>
      <c r="N442">
        <v>2745296.3</v>
      </c>
      <c r="O442">
        <v>2533493.9</v>
      </c>
      <c r="P442">
        <v>2823371.6</v>
      </c>
    </row>
    <row r="443" spans="1:16">
      <c r="A443">
        <v>28274.37</v>
      </c>
      <c r="B443">
        <v>15</v>
      </c>
      <c r="C443" t="s">
        <v>899</v>
      </c>
      <c r="D443" t="s">
        <v>900</v>
      </c>
      <c r="E443">
        <v>13</v>
      </c>
      <c r="F443">
        <v>15</v>
      </c>
      <c r="G443">
        <v>14</v>
      </c>
      <c r="H443">
        <v>25120574</v>
      </c>
      <c r="I443">
        <v>27296066</v>
      </c>
      <c r="J443">
        <v>23903208</v>
      </c>
      <c r="K443">
        <v>24.582366094105499</v>
      </c>
      <c r="L443">
        <v>24.702189704321398</v>
      </c>
      <c r="M443">
        <v>24.510700916522499</v>
      </c>
      <c r="N443">
        <v>5132781.8</v>
      </c>
      <c r="O443">
        <v>6142196.4000000004</v>
      </c>
      <c r="P443">
        <v>5725330.0999999996</v>
      </c>
    </row>
    <row r="444" spans="1:16">
      <c r="A444">
        <v>31202.57</v>
      </c>
      <c r="B444">
        <v>11</v>
      </c>
      <c r="C444" t="s">
        <v>901</v>
      </c>
      <c r="D444" t="s">
        <v>902</v>
      </c>
      <c r="E444">
        <v>11</v>
      </c>
      <c r="F444">
        <v>11</v>
      </c>
      <c r="G444">
        <v>11</v>
      </c>
      <c r="H444">
        <v>5693311</v>
      </c>
      <c r="I444">
        <v>6118098</v>
      </c>
      <c r="J444">
        <v>5067362.5</v>
      </c>
      <c r="K444">
        <v>22.440836479153798</v>
      </c>
      <c r="L444">
        <v>22.5446517855667</v>
      </c>
      <c r="M444">
        <v>22.272803606837801</v>
      </c>
      <c r="N444">
        <v>1722936.4</v>
      </c>
      <c r="O444">
        <v>1769012.1</v>
      </c>
      <c r="P444">
        <v>1499401.6</v>
      </c>
    </row>
    <row r="445" spans="1:16">
      <c r="A445">
        <v>45467.98</v>
      </c>
      <c r="B445">
        <v>10</v>
      </c>
      <c r="C445" t="s">
        <v>903</v>
      </c>
      <c r="D445" t="s">
        <v>904</v>
      </c>
      <c r="E445">
        <v>10</v>
      </c>
      <c r="F445">
        <v>10</v>
      </c>
      <c r="G445">
        <v>10</v>
      </c>
      <c r="H445">
        <v>9192848</v>
      </c>
      <c r="I445">
        <v>8340001</v>
      </c>
      <c r="J445">
        <v>9520667</v>
      </c>
      <c r="K445">
        <v>23.132080455750899</v>
      </c>
      <c r="L445">
        <v>22.9916161259791</v>
      </c>
      <c r="M445">
        <v>23.182631218895601</v>
      </c>
      <c r="N445">
        <v>4094287.1</v>
      </c>
      <c r="O445">
        <v>3760728.6</v>
      </c>
      <c r="P445">
        <v>4212177.7</v>
      </c>
    </row>
    <row r="446" spans="1:16">
      <c r="A446">
        <v>12871.48</v>
      </c>
      <c r="B446">
        <v>4</v>
      </c>
      <c r="C446" t="s">
        <v>905</v>
      </c>
      <c r="D446" t="s">
        <v>906</v>
      </c>
      <c r="E446">
        <v>4</v>
      </c>
      <c r="F446">
        <v>4</v>
      </c>
      <c r="G446">
        <v>4</v>
      </c>
      <c r="H446">
        <v>515724.1875</v>
      </c>
      <c r="I446">
        <v>530743.6875</v>
      </c>
      <c r="J446">
        <v>435089.40625</v>
      </c>
      <c r="K446">
        <v>18.976240184057701</v>
      </c>
      <c r="L446">
        <v>19.017655781704299</v>
      </c>
      <c r="M446">
        <v>18.730952364363599</v>
      </c>
      <c r="N446">
        <v>293731.3</v>
      </c>
      <c r="O446">
        <v>274385.7</v>
      </c>
      <c r="P446">
        <v>263914.7</v>
      </c>
    </row>
    <row r="447" spans="1:16">
      <c r="A447">
        <v>5142.1400000000003</v>
      </c>
      <c r="B447">
        <v>1</v>
      </c>
      <c r="C447" t="s">
        <v>907</v>
      </c>
      <c r="D447" t="s">
        <v>908</v>
      </c>
      <c r="E447">
        <v>1</v>
      </c>
      <c r="F447">
        <v>1</v>
      </c>
      <c r="G447">
        <v>1</v>
      </c>
      <c r="H447">
        <v>142312.546875</v>
      </c>
      <c r="I447">
        <v>75135.2734375</v>
      </c>
      <c r="J447">
        <v>119099.1484375</v>
      </c>
      <c r="K447">
        <v>17.118703335994599</v>
      </c>
      <c r="L447">
        <v>16.197202742231799</v>
      </c>
      <c r="M447">
        <v>16.8618035723627</v>
      </c>
      <c r="N447">
        <v>142312.5</v>
      </c>
      <c r="O447">
        <v>75135.3</v>
      </c>
      <c r="P447">
        <v>119099.1</v>
      </c>
    </row>
    <row r="448" spans="1:16">
      <c r="A448" t="s">
        <v>878</v>
      </c>
      <c r="B448">
        <v>1</v>
      </c>
      <c r="C448" t="s">
        <v>909</v>
      </c>
      <c r="D448" t="s">
        <v>910</v>
      </c>
      <c r="E448">
        <v>1</v>
      </c>
      <c r="F448">
        <v>1</v>
      </c>
      <c r="G448">
        <v>1</v>
      </c>
      <c r="H448">
        <v>16757.392578125</v>
      </c>
      <c r="I448">
        <v>1207.6767578125</v>
      </c>
      <c r="J448">
        <v>56162.55859375</v>
      </c>
      <c r="K448">
        <v>14.0325100651468</v>
      </c>
      <c r="L448">
        <v>10.238018644701899</v>
      </c>
      <c r="M448">
        <v>15.777321041445999</v>
      </c>
      <c r="N448">
        <v>1675.7</v>
      </c>
      <c r="O448">
        <v>120.8</v>
      </c>
      <c r="P448">
        <v>5616.3</v>
      </c>
    </row>
    <row r="449" spans="1:16">
      <c r="A449" t="s">
        <v>878</v>
      </c>
      <c r="B449">
        <v>7</v>
      </c>
      <c r="C449" t="s">
        <v>911</v>
      </c>
      <c r="D449" t="s">
        <v>912</v>
      </c>
      <c r="E449">
        <v>7</v>
      </c>
      <c r="F449">
        <v>7</v>
      </c>
      <c r="G449">
        <v>7</v>
      </c>
      <c r="H449">
        <v>886747.0625</v>
      </c>
      <c r="I449">
        <v>870647.375</v>
      </c>
      <c r="J449">
        <v>912139.625</v>
      </c>
      <c r="K449">
        <v>19.758163120433199</v>
      </c>
      <c r="L449">
        <v>19.731728998833201</v>
      </c>
      <c r="M449">
        <v>19.7988951550515</v>
      </c>
      <c r="N449">
        <v>353778.4</v>
      </c>
      <c r="O449">
        <v>333706.3</v>
      </c>
      <c r="P449">
        <v>378877.1</v>
      </c>
    </row>
    <row r="450" spans="1:16">
      <c r="A450" t="s">
        <v>878</v>
      </c>
      <c r="B450">
        <v>20</v>
      </c>
      <c r="C450" t="s">
        <v>913</v>
      </c>
      <c r="D450" t="s">
        <v>914</v>
      </c>
      <c r="E450">
        <v>19</v>
      </c>
      <c r="F450">
        <v>19</v>
      </c>
      <c r="G450">
        <v>20</v>
      </c>
      <c r="H450">
        <v>3857218.75</v>
      </c>
      <c r="I450">
        <v>3761825.25</v>
      </c>
      <c r="J450">
        <v>3715914.75</v>
      </c>
      <c r="K450">
        <v>21.879129535511499</v>
      </c>
      <c r="L450">
        <v>21.843001401488301</v>
      </c>
      <c r="M450">
        <v>21.825285973315101</v>
      </c>
      <c r="N450">
        <v>1719613.8</v>
      </c>
      <c r="O450">
        <v>1607108</v>
      </c>
      <c r="P450">
        <v>1666638.9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0"/>
  <sheetViews>
    <sheetView topLeftCell="E1" workbookViewId="0">
      <pane ySplit="1" topLeftCell="A11" activePane="bottomLeft" state="frozen"/>
      <selection pane="bottomLeft" activeCell="L1" sqref="L1"/>
    </sheetView>
  </sheetViews>
  <sheetFormatPr defaultRowHeight="14.4"/>
  <cols>
    <col min="2" max="2" width="35.88671875" bestFit="1" customWidth="1"/>
    <col min="3" max="3" width="58" customWidth="1"/>
    <col min="4" max="4" width="20.5546875" bestFit="1" customWidth="1"/>
    <col min="5" max="5" width="21.88671875" bestFit="1" customWidth="1"/>
    <col min="7" max="7" width="21.6640625" bestFit="1" customWidth="1"/>
    <col min="8" max="8" width="24.33203125" bestFit="1" customWidth="1"/>
    <col min="10" max="10" width="15.5546875" bestFit="1" customWidth="1"/>
    <col min="11" max="11" width="22" customWidth="1"/>
    <col min="12" max="12" width="11.33203125" bestFit="1" customWidth="1"/>
  </cols>
  <sheetData>
    <row r="1" spans="1:12">
      <c r="A1" t="s">
        <v>933</v>
      </c>
      <c r="B1" t="s">
        <v>932</v>
      </c>
      <c r="C1" t="s">
        <v>930</v>
      </c>
      <c r="D1" t="s">
        <v>929</v>
      </c>
      <c r="E1" t="s">
        <v>934</v>
      </c>
      <c r="F1" s="8">
        <f>SUM(F2:F740)</f>
        <v>18986030130.456898</v>
      </c>
      <c r="G1" t="s">
        <v>935</v>
      </c>
      <c r="H1" t="s">
        <v>936</v>
      </c>
      <c r="I1" s="9" t="s">
        <v>937</v>
      </c>
      <c r="J1" t="s">
        <v>938</v>
      </c>
      <c r="K1" t="s">
        <v>931</v>
      </c>
      <c r="L1" t="s">
        <v>939</v>
      </c>
    </row>
    <row r="2" spans="1:12">
      <c r="A2">
        <v>1</v>
      </c>
      <c r="B2" t="s">
        <v>498</v>
      </c>
      <c r="C2" t="s">
        <v>499</v>
      </c>
      <c r="D2" t="s">
        <v>928</v>
      </c>
      <c r="E2">
        <v>9.0969929893755399</v>
      </c>
      <c r="F2">
        <f t="shared" ref="F2:F8" si="0">POWER(10,E2)</f>
        <v>1250238847.9999921</v>
      </c>
      <c r="G2">
        <f>SUM(F2)</f>
        <v>1250238847.9999921</v>
      </c>
      <c r="H2" s="10">
        <f t="shared" ref="H2:H8" si="1">G2/$F$1</f>
        <v>6.5850461597782434E-2</v>
      </c>
      <c r="I2" s="11">
        <f t="shared" ref="I2:I8" si="2">F2/F$1</f>
        <v>6.5850461597782434E-2</v>
      </c>
      <c r="J2" t="s">
        <v>940</v>
      </c>
      <c r="K2" t="s">
        <v>1389</v>
      </c>
      <c r="L2" t="s">
        <v>1390</v>
      </c>
    </row>
    <row r="3" spans="1:12">
      <c r="A3">
        <v>2</v>
      </c>
      <c r="B3" t="s">
        <v>166</v>
      </c>
      <c r="C3" t="s">
        <v>167</v>
      </c>
      <c r="D3" t="s">
        <v>928</v>
      </c>
      <c r="E3">
        <v>8.7675376042089201</v>
      </c>
      <c r="F3">
        <f t="shared" si="0"/>
        <v>585514431.99999654</v>
      </c>
      <c r="G3">
        <f t="shared" ref="G3:G8" si="3">SUM(F3,G2)</f>
        <v>1835753279.9999886</v>
      </c>
      <c r="H3" s="10">
        <f t="shared" si="1"/>
        <v>9.6689685383734889E-2</v>
      </c>
      <c r="I3" s="11">
        <f t="shared" si="2"/>
        <v>3.0839223785952465E-2</v>
      </c>
      <c r="J3" t="s">
        <v>941</v>
      </c>
      <c r="K3" t="s">
        <v>1391</v>
      </c>
      <c r="L3" t="s">
        <v>1392</v>
      </c>
    </row>
    <row r="4" spans="1:12">
      <c r="A4">
        <v>3</v>
      </c>
      <c r="B4" t="s">
        <v>694</v>
      </c>
      <c r="C4" t="s">
        <v>695</v>
      </c>
      <c r="D4" t="s">
        <v>928</v>
      </c>
      <c r="E4">
        <v>8.7447037018560501</v>
      </c>
      <c r="F4">
        <f t="shared" si="0"/>
        <v>555525119.99999797</v>
      </c>
      <c r="G4">
        <f t="shared" si="3"/>
        <v>2391278399.9999866</v>
      </c>
      <c r="H4" s="10">
        <f t="shared" si="1"/>
        <v>0.12594936295629067</v>
      </c>
      <c r="I4" s="11">
        <f t="shared" si="2"/>
        <v>2.9259677572555778E-2</v>
      </c>
      <c r="J4" t="s">
        <v>942</v>
      </c>
      <c r="K4" t="s">
        <v>1393</v>
      </c>
      <c r="L4" t="s">
        <v>1394</v>
      </c>
    </row>
    <row r="5" spans="1:12">
      <c r="A5">
        <v>4</v>
      </c>
      <c r="B5" t="s">
        <v>608</v>
      </c>
      <c r="C5" t="s">
        <v>609</v>
      </c>
      <c r="D5" t="s">
        <v>928</v>
      </c>
      <c r="E5">
        <v>8.7154884864709903</v>
      </c>
      <c r="F5">
        <f t="shared" si="0"/>
        <v>519383903.99999762</v>
      </c>
      <c r="G5">
        <f t="shared" si="3"/>
        <v>2910662303.9999843</v>
      </c>
      <c r="H5" s="10">
        <f t="shared" si="1"/>
        <v>0.15330547165469707</v>
      </c>
      <c r="I5" s="11">
        <f t="shared" si="2"/>
        <v>2.7356108698406382E-2</v>
      </c>
      <c r="J5" t="s">
        <v>943</v>
      </c>
      <c r="K5" t="s">
        <v>1395</v>
      </c>
      <c r="L5" t="s">
        <v>1396</v>
      </c>
    </row>
    <row r="6" spans="1:12">
      <c r="A6">
        <v>5</v>
      </c>
      <c r="B6" t="s">
        <v>580</v>
      </c>
      <c r="C6" t="s">
        <v>581</v>
      </c>
      <c r="D6" t="s">
        <v>928</v>
      </c>
      <c r="E6">
        <v>8.5105006133903593</v>
      </c>
      <c r="F6">
        <f t="shared" si="0"/>
        <v>323966879.99999732</v>
      </c>
      <c r="G6">
        <f t="shared" si="3"/>
        <v>3234629183.9999814</v>
      </c>
      <c r="H6" s="10">
        <f t="shared" si="1"/>
        <v>0.17036890607326452</v>
      </c>
      <c r="I6" s="11">
        <f t="shared" si="2"/>
        <v>1.7063434418567475E-2</v>
      </c>
      <c r="J6" t="s">
        <v>944</v>
      </c>
      <c r="K6" t="s">
        <v>1397</v>
      </c>
      <c r="L6" t="s">
        <v>1398</v>
      </c>
    </row>
    <row r="7" spans="1:12">
      <c r="A7">
        <v>6</v>
      </c>
      <c r="B7" t="s">
        <v>658</v>
      </c>
      <c r="C7" t="s">
        <v>659</v>
      </c>
      <c r="D7" t="s">
        <v>928</v>
      </c>
      <c r="E7">
        <v>8.4810556215678101</v>
      </c>
      <c r="F7">
        <f t="shared" si="0"/>
        <v>302730112.00000101</v>
      </c>
      <c r="G7">
        <f t="shared" si="3"/>
        <v>3537359295.9999824</v>
      </c>
      <c r="H7" s="10">
        <f t="shared" si="1"/>
        <v>0.18631379344149687</v>
      </c>
      <c r="I7" s="11">
        <f t="shared" si="2"/>
        <v>1.5944887368232352E-2</v>
      </c>
      <c r="J7" t="s">
        <v>945</v>
      </c>
      <c r="K7" t="s">
        <v>1399</v>
      </c>
      <c r="L7" t="s">
        <v>1400</v>
      </c>
    </row>
    <row r="8" spans="1:12">
      <c r="A8">
        <v>7</v>
      </c>
      <c r="B8" t="s">
        <v>698</v>
      </c>
      <c r="C8" t="s">
        <v>699</v>
      </c>
      <c r="D8" t="s">
        <v>928</v>
      </c>
      <c r="E8">
        <v>8.4788836196377595</v>
      </c>
      <c r="F8">
        <f t="shared" si="0"/>
        <v>301219871.99999946</v>
      </c>
      <c r="G8">
        <f t="shared" si="3"/>
        <v>3838579167.9999819</v>
      </c>
      <c r="H8" s="10">
        <f t="shared" si="1"/>
        <v>0.20217913600812382</v>
      </c>
      <c r="I8" s="11">
        <f t="shared" si="2"/>
        <v>1.5865342566626941E-2</v>
      </c>
      <c r="J8" t="s">
        <v>946</v>
      </c>
      <c r="K8" t="s">
        <v>1401</v>
      </c>
      <c r="L8" t="s">
        <v>1402</v>
      </c>
    </row>
    <row r="9" spans="1:12">
      <c r="A9">
        <v>8</v>
      </c>
      <c r="B9" t="s">
        <v>672</v>
      </c>
      <c r="C9" t="s">
        <v>673</v>
      </c>
      <c r="D9" t="s">
        <v>928</v>
      </c>
      <c r="E9">
        <v>8.4385077177601406</v>
      </c>
      <c r="F9">
        <f t="shared" ref="F9:F72" si="4">POWER(10,E9)</f>
        <v>274478111.99999648</v>
      </c>
      <c r="G9">
        <f t="shared" ref="G9:G72" si="5">SUM(F9,G8)</f>
        <v>4113057279.9999785</v>
      </c>
      <c r="H9" s="10">
        <f t="shared" ref="H9:H72" si="6">G9/$F$1</f>
        <v>0.21663598191608885</v>
      </c>
      <c r="I9" s="11">
        <f t="shared" ref="I9:I72" si="7">F9/F$1</f>
        <v>1.4456845907965025E-2</v>
      </c>
      <c r="J9" t="s">
        <v>947</v>
      </c>
      <c r="K9" t="s">
        <v>1403</v>
      </c>
      <c r="L9" t="s">
        <v>1404</v>
      </c>
    </row>
    <row r="10" spans="1:12">
      <c r="A10">
        <v>9</v>
      </c>
      <c r="B10" t="s">
        <v>682</v>
      </c>
      <c r="C10" t="s">
        <v>683</v>
      </c>
      <c r="D10" t="s">
        <v>928</v>
      </c>
      <c r="E10">
        <v>8.4322274788741094</v>
      </c>
      <c r="F10">
        <f t="shared" si="4"/>
        <v>270537503.99999678</v>
      </c>
      <c r="G10">
        <f t="shared" si="5"/>
        <v>4383594783.9999752</v>
      </c>
      <c r="H10" s="10">
        <f t="shared" si="6"/>
        <v>0.23088527479833323</v>
      </c>
      <c r="I10" s="11">
        <f t="shared" si="7"/>
        <v>1.4249292882244378E-2</v>
      </c>
      <c r="J10" t="s">
        <v>948</v>
      </c>
      <c r="K10" t="s">
        <v>1405</v>
      </c>
      <c r="L10" t="s">
        <v>1406</v>
      </c>
    </row>
    <row r="11" spans="1:12">
      <c r="A11">
        <v>10</v>
      </c>
      <c r="B11" t="s">
        <v>700</v>
      </c>
      <c r="C11" t="s">
        <v>701</v>
      </c>
      <c r="D11" t="s">
        <v>928</v>
      </c>
      <c r="E11">
        <v>8.3908471094206298</v>
      </c>
      <c r="F11">
        <f t="shared" si="4"/>
        <v>245950159.9999961</v>
      </c>
      <c r="G11">
        <f t="shared" si="5"/>
        <v>4629544943.9999714</v>
      </c>
      <c r="H11" s="10">
        <f t="shared" si="6"/>
        <v>0.24383954476999251</v>
      </c>
      <c r="I11" s="11">
        <f t="shared" si="7"/>
        <v>1.295426997165928E-2</v>
      </c>
      <c r="J11" t="s">
        <v>949</v>
      </c>
      <c r="K11" t="s">
        <v>1407</v>
      </c>
      <c r="L11" t="s">
        <v>1408</v>
      </c>
    </row>
    <row r="12" spans="1:12">
      <c r="A12">
        <v>11</v>
      </c>
      <c r="B12" t="s">
        <v>164</v>
      </c>
      <c r="C12" t="s">
        <v>165</v>
      </c>
      <c r="D12" t="s">
        <v>928</v>
      </c>
      <c r="E12">
        <v>8.3838824359687898</v>
      </c>
      <c r="F12">
        <f t="shared" si="4"/>
        <v>242037375.99999738</v>
      </c>
      <c r="G12">
        <f t="shared" si="5"/>
        <v>4871582319.9999685</v>
      </c>
      <c r="H12" s="10">
        <f t="shared" si="6"/>
        <v>0.25658772721450085</v>
      </c>
      <c r="I12" s="11">
        <f>F12/F$1</f>
        <v>1.2748182444508359E-2</v>
      </c>
      <c r="J12" t="s">
        <v>950</v>
      </c>
      <c r="K12" t="s">
        <v>1409</v>
      </c>
      <c r="L12" t="s">
        <v>1410</v>
      </c>
    </row>
    <row r="13" spans="1:12">
      <c r="A13">
        <v>12</v>
      </c>
      <c r="B13" t="s">
        <v>228</v>
      </c>
      <c r="C13" t="s">
        <v>229</v>
      </c>
      <c r="D13" t="s">
        <v>928</v>
      </c>
      <c r="E13">
        <v>8.3763108099347097</v>
      </c>
      <c r="F13">
        <f t="shared" si="4"/>
        <v>237854192.0000006</v>
      </c>
      <c r="G13">
        <f t="shared" si="5"/>
        <v>5109436511.9999695</v>
      </c>
      <c r="H13" s="10">
        <f t="shared" si="6"/>
        <v>0.26911558008135378</v>
      </c>
      <c r="I13" s="11">
        <f t="shared" si="7"/>
        <v>1.2527852866852932E-2</v>
      </c>
      <c r="J13" t="s">
        <v>951</v>
      </c>
      <c r="K13" t="s">
        <v>1411</v>
      </c>
      <c r="L13" t="s">
        <v>1412</v>
      </c>
    </row>
    <row r="14" spans="1:12">
      <c r="A14">
        <v>13</v>
      </c>
      <c r="B14" t="s">
        <v>808</v>
      </c>
      <c r="C14" t="s">
        <v>809</v>
      </c>
      <c r="D14" t="s">
        <v>928</v>
      </c>
      <c r="E14">
        <v>8.3628284454843502</v>
      </c>
      <c r="F14">
        <f t="shared" si="4"/>
        <v>230583615.99999642</v>
      </c>
      <c r="G14">
        <f t="shared" si="5"/>
        <v>5340020127.9999657</v>
      </c>
      <c r="H14" s="10">
        <f t="shared" si="6"/>
        <v>0.28126048949188404</v>
      </c>
      <c r="I14" s="11">
        <f t="shared" si="7"/>
        <v>1.2144909410530228E-2</v>
      </c>
      <c r="J14" t="s">
        <v>952</v>
      </c>
      <c r="K14" t="s">
        <v>1413</v>
      </c>
      <c r="L14" t="s">
        <v>1414</v>
      </c>
    </row>
    <row r="15" spans="1:12">
      <c r="A15">
        <v>14</v>
      </c>
      <c r="B15" t="s">
        <v>778</v>
      </c>
      <c r="C15" t="s">
        <v>779</v>
      </c>
      <c r="D15" t="s">
        <v>928</v>
      </c>
      <c r="E15">
        <v>8.3485275075044907</v>
      </c>
      <c r="F15">
        <f t="shared" si="4"/>
        <v>223114351.99999744</v>
      </c>
      <c r="G15">
        <f t="shared" si="5"/>
        <v>5563134479.9999628</v>
      </c>
      <c r="H15" s="10">
        <f t="shared" si="6"/>
        <v>0.29301199048850801</v>
      </c>
      <c r="I15" s="11">
        <f t="shared" si="7"/>
        <v>1.1751500996623995E-2</v>
      </c>
      <c r="J15" t="s">
        <v>953</v>
      </c>
      <c r="K15" t="s">
        <v>1415</v>
      </c>
      <c r="L15" t="s">
        <v>1416</v>
      </c>
    </row>
    <row r="16" spans="1:12">
      <c r="A16">
        <v>15</v>
      </c>
      <c r="B16" t="s">
        <v>548</v>
      </c>
      <c r="C16" t="s">
        <v>549</v>
      </c>
      <c r="D16" t="s">
        <v>928</v>
      </c>
      <c r="E16">
        <v>8.3475653020934004</v>
      </c>
      <c r="F16">
        <f t="shared" si="4"/>
        <v>222620575.99999693</v>
      </c>
      <c r="G16">
        <f t="shared" si="5"/>
        <v>5785755055.9999599</v>
      </c>
      <c r="H16" s="10">
        <f t="shared" si="6"/>
        <v>0.30473748415255075</v>
      </c>
      <c r="I16" s="11">
        <f t="shared" si="7"/>
        <v>1.1725493664042741E-2</v>
      </c>
      <c r="J16" t="s">
        <v>954</v>
      </c>
      <c r="K16" t="s">
        <v>1417</v>
      </c>
      <c r="L16" t="s">
        <v>1418</v>
      </c>
    </row>
    <row r="17" spans="1:12">
      <c r="A17">
        <v>16</v>
      </c>
      <c r="B17" t="s">
        <v>508</v>
      </c>
      <c r="C17" t="s">
        <v>509</v>
      </c>
      <c r="D17" t="s">
        <v>928</v>
      </c>
      <c r="E17">
        <v>8.3435947982623198</v>
      </c>
      <c r="F17">
        <f t="shared" si="4"/>
        <v>220594560.00000048</v>
      </c>
      <c r="G17">
        <f t="shared" si="5"/>
        <v>6006349615.9999599</v>
      </c>
      <c r="H17" s="10">
        <f t="shared" si="6"/>
        <v>0.31635626693569446</v>
      </c>
      <c r="I17" s="11">
        <f t="shared" si="7"/>
        <v>1.1618782783143718E-2</v>
      </c>
      <c r="J17" t="s">
        <v>955</v>
      </c>
      <c r="K17" t="s">
        <v>1419</v>
      </c>
      <c r="L17" t="s">
        <v>1420</v>
      </c>
    </row>
    <row r="18" spans="1:12">
      <c r="A18">
        <v>17</v>
      </c>
      <c r="B18" t="s">
        <v>654</v>
      </c>
      <c r="C18" t="s">
        <v>655</v>
      </c>
      <c r="D18" t="s">
        <v>928</v>
      </c>
      <c r="E18">
        <v>8.31056777566317</v>
      </c>
      <c r="F18">
        <f t="shared" si="4"/>
        <v>204440895.99999627</v>
      </c>
      <c r="G18">
        <f t="shared" si="5"/>
        <v>6210790511.9999561</v>
      </c>
      <c r="H18" s="10">
        <f t="shared" si="6"/>
        <v>0.32712423130714235</v>
      </c>
      <c r="I18" s="11">
        <f t="shared" si="7"/>
        <v>1.0767964371447903E-2</v>
      </c>
      <c r="J18" s="12" t="s">
        <v>956</v>
      </c>
      <c r="K18" t="s">
        <v>1421</v>
      </c>
      <c r="L18" t="s">
        <v>1422</v>
      </c>
    </row>
    <row r="19" spans="1:12">
      <c r="A19">
        <v>18</v>
      </c>
      <c r="B19" t="s">
        <v>626</v>
      </c>
      <c r="C19" t="s">
        <v>627</v>
      </c>
      <c r="D19" t="s">
        <v>928</v>
      </c>
      <c r="E19">
        <v>8.2938319843206596</v>
      </c>
      <c r="F19">
        <f t="shared" si="4"/>
        <v>196712511.99999803</v>
      </c>
      <c r="G19">
        <f t="shared" si="5"/>
        <v>6407503023.9999542</v>
      </c>
      <c r="H19" s="10">
        <f t="shared" si="6"/>
        <v>0.33748513933522123</v>
      </c>
      <c r="I19" s="11">
        <f t="shared" si="7"/>
        <v>1.0360908028078862E-2</v>
      </c>
      <c r="J19" t="s">
        <v>957</v>
      </c>
      <c r="K19" t="s">
        <v>1423</v>
      </c>
      <c r="L19" t="s">
        <v>1424</v>
      </c>
    </row>
    <row r="20" spans="1:12">
      <c r="A20">
        <v>19</v>
      </c>
      <c r="B20" t="s">
        <v>358</v>
      </c>
      <c r="C20" t="s">
        <v>359</v>
      </c>
      <c r="D20" t="s">
        <v>928</v>
      </c>
      <c r="E20">
        <v>8.2821720077199998</v>
      </c>
      <c r="F20">
        <f t="shared" si="4"/>
        <v>191501423.99999598</v>
      </c>
      <c r="G20">
        <f t="shared" si="5"/>
        <v>6599004447.9999504</v>
      </c>
      <c r="H20" s="10">
        <f t="shared" si="6"/>
        <v>0.3475715777683297</v>
      </c>
      <c r="I20" s="11">
        <f t="shared" si="7"/>
        <v>1.0086438433108476E-2</v>
      </c>
      <c r="J20" t="s">
        <v>958</v>
      </c>
      <c r="K20" t="s">
        <v>1425</v>
      </c>
      <c r="L20" t="s">
        <v>1426</v>
      </c>
    </row>
    <row r="21" spans="1:12">
      <c r="A21">
        <v>20</v>
      </c>
      <c r="B21" t="s">
        <v>676</v>
      </c>
      <c r="C21" t="s">
        <v>677</v>
      </c>
      <c r="D21" t="s">
        <v>928</v>
      </c>
      <c r="E21">
        <v>8.2772498227463807</v>
      </c>
      <c r="F21">
        <f t="shared" si="4"/>
        <v>189343247.99999785</v>
      </c>
      <c r="G21">
        <f t="shared" si="5"/>
        <v>6788347695.9999485</v>
      </c>
      <c r="H21" s="10">
        <f t="shared" si="6"/>
        <v>0.35754434441301436</v>
      </c>
      <c r="I21" s="11">
        <f t="shared" si="7"/>
        <v>9.9727666446846261E-3</v>
      </c>
      <c r="J21" t="s">
        <v>959</v>
      </c>
      <c r="K21" t="s">
        <v>1427</v>
      </c>
      <c r="L21" t="s">
        <v>1428</v>
      </c>
    </row>
    <row r="22" spans="1:12">
      <c r="A22">
        <v>21</v>
      </c>
      <c r="B22" t="s">
        <v>640</v>
      </c>
      <c r="C22" t="s">
        <v>641</v>
      </c>
      <c r="D22" t="s">
        <v>928</v>
      </c>
      <c r="E22">
        <v>8.2637270549923496</v>
      </c>
      <c r="F22">
        <f t="shared" si="4"/>
        <v>183538447.99999934</v>
      </c>
      <c r="G22">
        <f t="shared" si="5"/>
        <v>6971886143.9999475</v>
      </c>
      <c r="H22" s="10">
        <f t="shared" si="6"/>
        <v>0.36721137047053498</v>
      </c>
      <c r="I22" s="11">
        <f t="shared" si="7"/>
        <v>9.6670260575206675E-3</v>
      </c>
      <c r="J22" t="s">
        <v>960</v>
      </c>
      <c r="K22" t="s">
        <v>1429</v>
      </c>
      <c r="L22" t="s">
        <v>1430</v>
      </c>
    </row>
    <row r="23" spans="1:12">
      <c r="A23">
        <v>22</v>
      </c>
      <c r="B23" t="s">
        <v>576</v>
      </c>
      <c r="C23" t="s">
        <v>577</v>
      </c>
      <c r="D23" t="s">
        <v>928</v>
      </c>
      <c r="E23">
        <v>8.2426837184182702</v>
      </c>
      <c r="F23">
        <f t="shared" si="4"/>
        <v>174857279.99999833</v>
      </c>
      <c r="G23">
        <f t="shared" si="5"/>
        <v>7146743423.9999456</v>
      </c>
      <c r="H23" s="10">
        <f t="shared" si="6"/>
        <v>0.37642115676069243</v>
      </c>
      <c r="I23" s="11">
        <f t="shared" si="7"/>
        <v>9.2097862901574564E-3</v>
      </c>
      <c r="J23" t="s">
        <v>961</v>
      </c>
      <c r="K23" t="s">
        <v>1431</v>
      </c>
      <c r="L23" t="s">
        <v>1432</v>
      </c>
    </row>
    <row r="24" spans="1:12">
      <c r="A24">
        <v>23</v>
      </c>
      <c r="B24" t="s">
        <v>302</v>
      </c>
      <c r="C24" t="s">
        <v>303</v>
      </c>
      <c r="D24" t="s">
        <v>928</v>
      </c>
      <c r="E24">
        <v>8.2282121441832192</v>
      </c>
      <c r="F24">
        <f t="shared" si="4"/>
        <v>169126687.99999854</v>
      </c>
      <c r="G24">
        <f t="shared" si="5"/>
        <v>7315870111.9999437</v>
      </c>
      <c r="H24" s="10">
        <f t="shared" si="6"/>
        <v>0.38532911102168821</v>
      </c>
      <c r="I24" s="11">
        <f t="shared" si="7"/>
        <v>8.9079542609958196E-3</v>
      </c>
      <c r="J24" t="s">
        <v>962</v>
      </c>
      <c r="K24" t="s">
        <v>1433</v>
      </c>
      <c r="L24" t="s">
        <v>1434</v>
      </c>
    </row>
    <row r="25" spans="1:12">
      <c r="A25">
        <v>24</v>
      </c>
      <c r="B25" t="s">
        <v>574</v>
      </c>
      <c r="C25" t="s">
        <v>575</v>
      </c>
      <c r="D25" t="s">
        <v>928</v>
      </c>
      <c r="E25">
        <v>8.2256370710076894</v>
      </c>
      <c r="F25">
        <f t="shared" si="4"/>
        <v>168126847.99999708</v>
      </c>
      <c r="G25">
        <f t="shared" si="5"/>
        <v>7483996959.9999409</v>
      </c>
      <c r="H25" s="10">
        <f t="shared" si="6"/>
        <v>0.3941844034048122</v>
      </c>
      <c r="I25" s="11">
        <f t="shared" si="7"/>
        <v>8.8552923831239656E-3</v>
      </c>
      <c r="J25" t="s">
        <v>963</v>
      </c>
      <c r="K25" t="s">
        <v>1435</v>
      </c>
      <c r="L25" t="s">
        <v>1436</v>
      </c>
    </row>
    <row r="26" spans="1:12">
      <c r="A26">
        <v>25</v>
      </c>
      <c r="B26" t="s">
        <v>242</v>
      </c>
      <c r="C26" t="s">
        <v>243</v>
      </c>
      <c r="D26" t="s">
        <v>928</v>
      </c>
      <c r="E26">
        <v>8.2250110051371799</v>
      </c>
      <c r="F26">
        <f t="shared" si="4"/>
        <v>167884655.99999684</v>
      </c>
      <c r="G26">
        <f t="shared" si="5"/>
        <v>7651881615.999938</v>
      </c>
      <c r="H26" s="10">
        <f t="shared" si="6"/>
        <v>0.40302693946139839</v>
      </c>
      <c r="I26" s="11">
        <f t="shared" si="7"/>
        <v>8.8425360565861852E-3</v>
      </c>
      <c r="J26" t="s">
        <v>964</v>
      </c>
      <c r="K26" t="s">
        <v>1437</v>
      </c>
      <c r="L26" t="s">
        <v>1438</v>
      </c>
    </row>
    <row r="27" spans="1:12">
      <c r="A27">
        <v>26</v>
      </c>
      <c r="B27" t="s">
        <v>704</v>
      </c>
      <c r="C27" t="s">
        <v>705</v>
      </c>
      <c r="D27" t="s">
        <v>928</v>
      </c>
      <c r="E27">
        <v>8.1962407134755395</v>
      </c>
      <c r="F27">
        <f t="shared" si="4"/>
        <v>157123343.99999836</v>
      </c>
      <c r="G27">
        <f t="shared" si="5"/>
        <v>7809004959.9999361</v>
      </c>
      <c r="H27" s="10">
        <f t="shared" si="6"/>
        <v>0.41130267393144671</v>
      </c>
      <c r="I27" s="11">
        <f t="shared" si="7"/>
        <v>8.2757344700483317E-3</v>
      </c>
      <c r="J27" t="s">
        <v>965</v>
      </c>
      <c r="K27" t="s">
        <v>1439</v>
      </c>
      <c r="L27" t="s">
        <v>1440</v>
      </c>
    </row>
    <row r="28" spans="1:12">
      <c r="A28">
        <v>27</v>
      </c>
      <c r="B28" t="s">
        <v>214</v>
      </c>
      <c r="C28" t="s">
        <v>215</v>
      </c>
      <c r="D28" t="s">
        <v>928</v>
      </c>
      <c r="E28">
        <v>8.18806148111711</v>
      </c>
      <c r="F28">
        <f t="shared" si="4"/>
        <v>154191872.00000045</v>
      </c>
      <c r="G28">
        <f t="shared" si="5"/>
        <v>7963196831.9999361</v>
      </c>
      <c r="H28" s="10">
        <f t="shared" si="6"/>
        <v>0.41942400687680265</v>
      </c>
      <c r="I28" s="11">
        <f t="shared" si="7"/>
        <v>8.1213329453559569E-3</v>
      </c>
      <c r="J28" t="s">
        <v>966</v>
      </c>
      <c r="K28" t="s">
        <v>1441</v>
      </c>
      <c r="L28" t="s">
        <v>1442</v>
      </c>
    </row>
    <row r="29" spans="1:12">
      <c r="A29">
        <v>28</v>
      </c>
      <c r="B29" t="s">
        <v>702</v>
      </c>
      <c r="C29" t="s">
        <v>703</v>
      </c>
      <c r="D29" t="s">
        <v>928</v>
      </c>
      <c r="E29">
        <v>8.1855810894649697</v>
      </c>
      <c r="F29">
        <f t="shared" si="4"/>
        <v>153313743.99999908</v>
      </c>
      <c r="G29">
        <f t="shared" si="5"/>
        <v>8116510575.9999352</v>
      </c>
      <c r="H29" s="10">
        <f t="shared" si="6"/>
        <v>0.4274990885524636</v>
      </c>
      <c r="I29" s="11">
        <f t="shared" si="7"/>
        <v>8.0750816756609452E-3</v>
      </c>
      <c r="J29" t="s">
        <v>967</v>
      </c>
      <c r="K29" t="s">
        <v>1443</v>
      </c>
      <c r="L29" t="s">
        <v>1444</v>
      </c>
    </row>
    <row r="30" spans="1:12">
      <c r="A30">
        <v>29</v>
      </c>
      <c r="B30" t="s">
        <v>684</v>
      </c>
      <c r="C30" t="s">
        <v>685</v>
      </c>
      <c r="D30" t="s">
        <v>928</v>
      </c>
      <c r="E30">
        <v>8.1764447582505007</v>
      </c>
      <c r="F30">
        <f t="shared" si="4"/>
        <v>150122143.99999878</v>
      </c>
      <c r="G30">
        <f t="shared" si="5"/>
        <v>8266632719.9999342</v>
      </c>
      <c r="H30" s="10">
        <f t="shared" si="6"/>
        <v>0.43540606768230161</v>
      </c>
      <c r="I30" s="11">
        <f t="shared" si="7"/>
        <v>7.9069791298380342E-3</v>
      </c>
      <c r="J30" t="s">
        <v>968</v>
      </c>
      <c r="K30" t="s">
        <v>1445</v>
      </c>
      <c r="L30" t="s">
        <v>1446</v>
      </c>
    </row>
    <row r="31" spans="1:12">
      <c r="A31">
        <v>30</v>
      </c>
      <c r="B31" t="s">
        <v>396</v>
      </c>
      <c r="C31" t="s">
        <v>397</v>
      </c>
      <c r="D31" t="s">
        <v>928</v>
      </c>
      <c r="E31">
        <v>8.1751904673463596</v>
      </c>
      <c r="F31">
        <f t="shared" si="4"/>
        <v>149689200.00000012</v>
      </c>
      <c r="G31">
        <f t="shared" si="5"/>
        <v>8416321919.9999342</v>
      </c>
      <c r="H31" s="10">
        <f t="shared" si="6"/>
        <v>0.44329024351955959</v>
      </c>
      <c r="I31" s="11">
        <f t="shared" si="7"/>
        <v>7.8841758372579732E-3</v>
      </c>
      <c r="J31" t="s">
        <v>969</v>
      </c>
      <c r="K31" t="s">
        <v>1447</v>
      </c>
      <c r="L31" t="s">
        <v>1448</v>
      </c>
    </row>
    <row r="32" spans="1:12">
      <c r="A32">
        <v>31</v>
      </c>
      <c r="B32" t="s">
        <v>812</v>
      </c>
      <c r="C32" t="s">
        <v>813</v>
      </c>
      <c r="D32" t="s">
        <v>928</v>
      </c>
      <c r="E32">
        <v>8.1740989011954301</v>
      </c>
      <c r="F32">
        <f t="shared" si="4"/>
        <v>149313439.99999732</v>
      </c>
      <c r="G32">
        <f t="shared" si="5"/>
        <v>8565635359.9999313</v>
      </c>
      <c r="H32" s="10">
        <f t="shared" si="6"/>
        <v>0.45115462796296529</v>
      </c>
      <c r="I32" s="11">
        <f t="shared" si="7"/>
        <v>7.86438444340571E-3</v>
      </c>
      <c r="J32" t="s">
        <v>970</v>
      </c>
      <c r="K32" t="s">
        <v>1449</v>
      </c>
      <c r="L32" t="s">
        <v>1450</v>
      </c>
    </row>
    <row r="33" spans="1:12">
      <c r="A33">
        <v>32</v>
      </c>
      <c r="B33" t="s">
        <v>606</v>
      </c>
      <c r="C33" t="s">
        <v>607</v>
      </c>
      <c r="D33" t="s">
        <v>928</v>
      </c>
      <c r="E33">
        <v>8.1718900568059301</v>
      </c>
      <c r="F33">
        <f t="shared" si="4"/>
        <v>148555951.99999765</v>
      </c>
      <c r="G33">
        <f t="shared" si="5"/>
        <v>8714191311.9999294</v>
      </c>
      <c r="H33" s="10">
        <f t="shared" si="6"/>
        <v>0.45897911528228585</v>
      </c>
      <c r="I33" s="11">
        <f t="shared" si="7"/>
        <v>7.8244873193205368E-3</v>
      </c>
      <c r="J33" t="s">
        <v>971</v>
      </c>
      <c r="K33" t="s">
        <v>1451</v>
      </c>
      <c r="L33" t="s">
        <v>1452</v>
      </c>
    </row>
    <row r="34" spans="1:12">
      <c r="A34">
        <v>33</v>
      </c>
      <c r="B34" t="s">
        <v>560</v>
      </c>
      <c r="C34" t="s">
        <v>561</v>
      </c>
      <c r="D34" t="s">
        <v>928</v>
      </c>
      <c r="E34">
        <v>8.1718422032960305</v>
      </c>
      <c r="F34">
        <f t="shared" si="4"/>
        <v>148539583.99999866</v>
      </c>
      <c r="G34">
        <f t="shared" si="5"/>
        <v>8862730895.9999275</v>
      </c>
      <c r="H34" s="10">
        <f t="shared" si="6"/>
        <v>0.46680274049405224</v>
      </c>
      <c r="I34" s="11">
        <f t="shared" si="7"/>
        <v>7.8236252117663777E-3</v>
      </c>
      <c r="J34" t="s">
        <v>972</v>
      </c>
      <c r="K34" t="s">
        <v>1453</v>
      </c>
      <c r="L34" t="s">
        <v>1454</v>
      </c>
    </row>
    <row r="35" spans="1:12">
      <c r="A35">
        <v>34</v>
      </c>
      <c r="B35" t="s">
        <v>216</v>
      </c>
      <c r="C35" t="s">
        <v>217</v>
      </c>
      <c r="D35" t="s">
        <v>928</v>
      </c>
      <c r="E35">
        <v>8.1714786625741596</v>
      </c>
      <c r="F35">
        <f t="shared" si="4"/>
        <v>148415295.99999723</v>
      </c>
      <c r="G35">
        <f t="shared" si="5"/>
        <v>9011146191.9999256</v>
      </c>
      <c r="H35" s="10">
        <f t="shared" si="6"/>
        <v>0.47461981941893572</v>
      </c>
      <c r="I35" s="11">
        <f t="shared" si="7"/>
        <v>7.8170789248834735E-3</v>
      </c>
      <c r="J35" t="s">
        <v>973</v>
      </c>
      <c r="K35" t="s">
        <v>1455</v>
      </c>
      <c r="L35" t="s">
        <v>1456</v>
      </c>
    </row>
    <row r="36" spans="1:12">
      <c r="A36">
        <v>35</v>
      </c>
      <c r="B36" t="s">
        <v>130</v>
      </c>
      <c r="C36" t="s">
        <v>131</v>
      </c>
      <c r="D36" t="s">
        <v>928</v>
      </c>
      <c r="E36">
        <v>8.1595554996070394</v>
      </c>
      <c r="F36">
        <f t="shared" si="4"/>
        <v>144396111.99999973</v>
      </c>
      <c r="G36">
        <f t="shared" si="5"/>
        <v>9155542303.9999256</v>
      </c>
      <c r="H36" s="10">
        <f t="shared" si="6"/>
        <v>0.48222520669620356</v>
      </c>
      <c r="I36" s="11">
        <f t="shared" si="7"/>
        <v>7.6053872772677859E-3</v>
      </c>
      <c r="J36" t="s">
        <v>974</v>
      </c>
      <c r="K36" t="s">
        <v>1457</v>
      </c>
      <c r="L36" t="s">
        <v>1458</v>
      </c>
    </row>
    <row r="37" spans="1:12">
      <c r="A37">
        <v>36</v>
      </c>
      <c r="B37" t="s">
        <v>198</v>
      </c>
      <c r="C37" t="s">
        <v>199</v>
      </c>
      <c r="D37" t="s">
        <v>928</v>
      </c>
      <c r="E37">
        <v>8.1446850739755092</v>
      </c>
      <c r="F37">
        <f t="shared" si="4"/>
        <v>139535615.99999759</v>
      </c>
      <c r="G37">
        <f t="shared" si="5"/>
        <v>9295077919.9999237</v>
      </c>
      <c r="H37" s="10">
        <f t="shared" si="6"/>
        <v>0.48957459016611377</v>
      </c>
      <c r="I37" s="11">
        <f t="shared" si="7"/>
        <v>7.349383469910235E-3</v>
      </c>
      <c r="J37" t="s">
        <v>975</v>
      </c>
      <c r="K37" t="s">
        <v>1459</v>
      </c>
      <c r="L37" t="s">
        <v>1460</v>
      </c>
    </row>
    <row r="38" spans="1:12">
      <c r="A38">
        <v>37</v>
      </c>
      <c r="B38" t="s">
        <v>162</v>
      </c>
      <c r="C38" t="s">
        <v>163</v>
      </c>
      <c r="D38" t="s">
        <v>928</v>
      </c>
      <c r="E38">
        <v>8.1308175410617007</v>
      </c>
      <c r="F38">
        <f t="shared" si="4"/>
        <v>135150463.99999902</v>
      </c>
      <c r="G38">
        <f t="shared" si="5"/>
        <v>9430228383.9999218</v>
      </c>
      <c r="H38" s="10">
        <f t="shared" si="6"/>
        <v>0.49669300634218388</v>
      </c>
      <c r="I38" s="11">
        <f t="shared" si="7"/>
        <v>7.1184161760701175E-3</v>
      </c>
      <c r="J38" t="s">
        <v>976</v>
      </c>
      <c r="K38" t="s">
        <v>1461</v>
      </c>
      <c r="L38" t="s">
        <v>1462</v>
      </c>
    </row>
    <row r="39" spans="1:12">
      <c r="A39">
        <v>38</v>
      </c>
      <c r="B39" t="s">
        <v>804</v>
      </c>
      <c r="C39" t="s">
        <v>805</v>
      </c>
      <c r="D39" t="s">
        <v>928</v>
      </c>
      <c r="E39">
        <v>8.1244784272366992</v>
      </c>
      <c r="F39">
        <f t="shared" si="4"/>
        <v>133192087.99999827</v>
      </c>
      <c r="G39">
        <f t="shared" si="5"/>
        <v>9563420471.9999199</v>
      </c>
      <c r="H39" s="10">
        <f t="shared" si="6"/>
        <v>0.5037082742567931</v>
      </c>
      <c r="I39" s="11">
        <f t="shared" si="7"/>
        <v>7.0152679146092247E-3</v>
      </c>
      <c r="J39" s="12" t="s">
        <v>977</v>
      </c>
      <c r="K39" t="s">
        <v>1463</v>
      </c>
      <c r="L39" t="s">
        <v>1464</v>
      </c>
    </row>
    <row r="40" spans="1:12">
      <c r="A40">
        <v>39</v>
      </c>
      <c r="B40" t="s">
        <v>286</v>
      </c>
      <c r="C40" t="s">
        <v>287</v>
      </c>
      <c r="D40" t="s">
        <v>928</v>
      </c>
      <c r="E40">
        <v>8.1237640156651292</v>
      </c>
      <c r="F40">
        <f t="shared" si="4"/>
        <v>132973167.99999736</v>
      </c>
      <c r="G40">
        <f t="shared" si="5"/>
        <v>9696393639.999918</v>
      </c>
      <c r="H40" s="10">
        <f t="shared" si="6"/>
        <v>0.51071201158820534</v>
      </c>
      <c r="I40" s="11">
        <f t="shared" si="7"/>
        <v>7.0037373314121758E-3</v>
      </c>
      <c r="J40" t="s">
        <v>978</v>
      </c>
      <c r="K40" t="s">
        <v>1465</v>
      </c>
      <c r="L40" t="s">
        <v>1466</v>
      </c>
    </row>
    <row r="41" spans="1:12">
      <c r="A41">
        <v>40</v>
      </c>
      <c r="B41" t="s">
        <v>84</v>
      </c>
      <c r="C41" t="s">
        <v>85</v>
      </c>
      <c r="D41" t="s">
        <v>928</v>
      </c>
      <c r="E41">
        <v>8.0847937210264895</v>
      </c>
      <c r="F41">
        <f t="shared" si="4"/>
        <v>121560847.99999781</v>
      </c>
      <c r="G41">
        <f t="shared" si="5"/>
        <v>9817954487.9999161</v>
      </c>
      <c r="H41" s="10">
        <f t="shared" si="6"/>
        <v>0.51711465854308358</v>
      </c>
      <c r="I41" s="11">
        <f t="shared" si="7"/>
        <v>6.4026469548783159E-3</v>
      </c>
      <c r="J41" t="s">
        <v>979</v>
      </c>
      <c r="K41" t="s">
        <v>1467</v>
      </c>
      <c r="L41" t="s">
        <v>1468</v>
      </c>
    </row>
    <row r="42" spans="1:12">
      <c r="A42">
        <v>41</v>
      </c>
      <c r="B42" t="s">
        <v>328</v>
      </c>
      <c r="C42" t="s">
        <v>329</v>
      </c>
      <c r="D42" t="s">
        <v>928</v>
      </c>
      <c r="E42">
        <v>8.0679581872269992</v>
      </c>
      <c r="F42">
        <f t="shared" si="4"/>
        <v>116938679.99999765</v>
      </c>
      <c r="G42">
        <f t="shared" si="5"/>
        <v>9934893167.9999142</v>
      </c>
      <c r="H42" s="10">
        <f t="shared" si="6"/>
        <v>0.52327385449908326</v>
      </c>
      <c r="I42" s="11">
        <f t="shared" si="7"/>
        <v>6.1591959559996511E-3</v>
      </c>
      <c r="J42" t="s">
        <v>980</v>
      </c>
      <c r="K42" t="s">
        <v>1469</v>
      </c>
      <c r="L42" t="s">
        <v>1470</v>
      </c>
    </row>
    <row r="43" spans="1:12">
      <c r="A43">
        <v>42</v>
      </c>
      <c r="B43" t="s">
        <v>706</v>
      </c>
      <c r="C43" t="s">
        <v>707</v>
      </c>
      <c r="D43" t="s">
        <v>928</v>
      </c>
      <c r="E43">
        <v>8.0676619574744599</v>
      </c>
      <c r="F43">
        <f t="shared" si="4"/>
        <v>116858943.9999994</v>
      </c>
      <c r="G43">
        <f t="shared" si="5"/>
        <v>10051752111.999914</v>
      </c>
      <c r="H43" s="10">
        <f t="shared" si="6"/>
        <v>0.52942885073563395</v>
      </c>
      <c r="I43" s="11">
        <f t="shared" si="7"/>
        <v>6.1549962365506474E-3</v>
      </c>
      <c r="J43" t="s">
        <v>981</v>
      </c>
      <c r="K43" t="s">
        <v>1471</v>
      </c>
      <c r="L43" t="s">
        <v>1472</v>
      </c>
    </row>
    <row r="44" spans="1:12">
      <c r="A44">
        <v>43</v>
      </c>
      <c r="B44" t="s">
        <v>796</v>
      </c>
      <c r="C44" t="s">
        <v>797</v>
      </c>
      <c r="D44" t="s">
        <v>928</v>
      </c>
      <c r="E44">
        <v>8.0674860023641504</v>
      </c>
      <c r="F44">
        <f t="shared" si="4"/>
        <v>116811607.99999961</v>
      </c>
      <c r="G44">
        <f t="shared" si="5"/>
        <v>10168563719.999914</v>
      </c>
      <c r="H44" s="10">
        <f t="shared" si="6"/>
        <v>0.53558135377062144</v>
      </c>
      <c r="I44" s="11">
        <f t="shared" si="7"/>
        <v>6.1525030349874697E-3</v>
      </c>
      <c r="J44" t="s">
        <v>982</v>
      </c>
      <c r="K44" t="s">
        <v>1473</v>
      </c>
      <c r="L44" t="s">
        <v>1474</v>
      </c>
    </row>
    <row r="45" spans="1:12">
      <c r="A45">
        <v>44</v>
      </c>
      <c r="B45" t="s">
        <v>586</v>
      </c>
      <c r="C45" t="s">
        <v>587</v>
      </c>
      <c r="D45" t="s">
        <v>928</v>
      </c>
      <c r="E45">
        <v>8.0604834952407298</v>
      </c>
      <c r="F45">
        <f t="shared" si="4"/>
        <v>114943255.99999884</v>
      </c>
      <c r="G45">
        <f t="shared" si="5"/>
        <v>10283506975.999912</v>
      </c>
      <c r="H45" s="10">
        <f t="shared" si="6"/>
        <v>0.54163545013569614</v>
      </c>
      <c r="I45" s="11">
        <f t="shared" si="7"/>
        <v>6.0540963650747527E-3</v>
      </c>
      <c r="J45" t="s">
        <v>983</v>
      </c>
      <c r="K45" t="s">
        <v>1475</v>
      </c>
      <c r="L45" t="s">
        <v>1476</v>
      </c>
    </row>
    <row r="46" spans="1:12">
      <c r="A46">
        <v>45</v>
      </c>
      <c r="B46" t="s">
        <v>168</v>
      </c>
      <c r="C46" t="s">
        <v>169</v>
      </c>
      <c r="D46" t="s">
        <v>928</v>
      </c>
      <c r="E46">
        <v>8.0602685301779609</v>
      </c>
      <c r="F46">
        <f t="shared" si="4"/>
        <v>114886376.00000001</v>
      </c>
      <c r="G46">
        <f t="shared" si="5"/>
        <v>10398393351.999912</v>
      </c>
      <c r="H46" s="10">
        <f t="shared" si="6"/>
        <v>0.54768655061381577</v>
      </c>
      <c r="I46" s="11">
        <f t="shared" si="7"/>
        <v>6.0511004781195555E-3</v>
      </c>
      <c r="J46" t="s">
        <v>984</v>
      </c>
      <c r="K46" t="s">
        <v>1477</v>
      </c>
      <c r="L46" t="s">
        <v>1478</v>
      </c>
    </row>
    <row r="47" spans="1:12">
      <c r="A47">
        <v>46</v>
      </c>
      <c r="B47" t="s">
        <v>766</v>
      </c>
      <c r="C47" t="s">
        <v>767</v>
      </c>
      <c r="D47" t="s">
        <v>928</v>
      </c>
      <c r="E47">
        <v>8.0567842988396592</v>
      </c>
      <c r="F47">
        <f t="shared" si="4"/>
        <v>113968359.99999869</v>
      </c>
      <c r="G47">
        <f t="shared" si="5"/>
        <v>10512361711.99991</v>
      </c>
      <c r="H47" s="10">
        <f t="shared" si="6"/>
        <v>0.55368929890910956</v>
      </c>
      <c r="I47" s="11">
        <f t="shared" si="7"/>
        <v>6.0027482952938957E-3</v>
      </c>
      <c r="J47" t="s">
        <v>985</v>
      </c>
      <c r="K47" t="s">
        <v>1479</v>
      </c>
      <c r="L47" t="s">
        <v>1480</v>
      </c>
    </row>
    <row r="48" spans="1:12">
      <c r="A48">
        <v>47</v>
      </c>
      <c r="B48" t="s">
        <v>476</v>
      </c>
      <c r="C48" t="s">
        <v>477</v>
      </c>
      <c r="D48" t="s">
        <v>928</v>
      </c>
      <c r="E48">
        <v>8.0383717364526195</v>
      </c>
      <c r="F48">
        <f t="shared" si="4"/>
        <v>109237495.99999911</v>
      </c>
      <c r="G48">
        <f t="shared" si="5"/>
        <v>10621599207.99991</v>
      </c>
      <c r="H48" s="10">
        <f t="shared" si="6"/>
        <v>0.55944287115403957</v>
      </c>
      <c r="I48" s="11">
        <f t="shared" si="7"/>
        <v>5.7535722449298735E-3</v>
      </c>
      <c r="J48" t="s">
        <v>986</v>
      </c>
      <c r="K48" t="s">
        <v>1469</v>
      </c>
      <c r="L48" t="s">
        <v>1481</v>
      </c>
    </row>
    <row r="49" spans="1:12">
      <c r="A49">
        <v>48</v>
      </c>
      <c r="B49" t="s">
        <v>330</v>
      </c>
      <c r="C49" t="s">
        <v>331</v>
      </c>
      <c r="D49" t="s">
        <v>928</v>
      </c>
      <c r="E49">
        <v>8.0370501163401205</v>
      </c>
      <c r="F49">
        <f t="shared" si="4"/>
        <v>108905575.99999845</v>
      </c>
      <c r="G49">
        <f t="shared" si="5"/>
        <v>10730504783.999908</v>
      </c>
      <c r="H49" s="10">
        <f t="shared" si="6"/>
        <v>0.56517896107129373</v>
      </c>
      <c r="I49" s="11">
        <f t="shared" si="7"/>
        <v>5.7360899172542107E-3</v>
      </c>
      <c r="J49" t="s">
        <v>987</v>
      </c>
      <c r="K49" t="s">
        <v>1482</v>
      </c>
      <c r="L49" t="s">
        <v>1483</v>
      </c>
    </row>
    <row r="50" spans="1:12">
      <c r="A50">
        <v>49</v>
      </c>
      <c r="B50" t="s">
        <v>562</v>
      </c>
      <c r="C50" t="s">
        <v>563</v>
      </c>
      <c r="D50" t="s">
        <v>928</v>
      </c>
      <c r="E50">
        <v>8.0322420263106107</v>
      </c>
      <c r="F50">
        <f t="shared" si="4"/>
        <v>107706527.99999967</v>
      </c>
      <c r="G50">
        <f t="shared" si="5"/>
        <v>10838211311.999908</v>
      </c>
      <c r="H50" s="10">
        <f t="shared" si="6"/>
        <v>0.57085189676453374</v>
      </c>
      <c r="I50" s="11">
        <f t="shared" si="7"/>
        <v>5.6729356932400336E-3</v>
      </c>
      <c r="J50" t="s">
        <v>988</v>
      </c>
      <c r="K50" t="s">
        <v>1484</v>
      </c>
      <c r="L50" t="s">
        <v>1485</v>
      </c>
    </row>
    <row r="51" spans="1:12">
      <c r="A51">
        <v>50</v>
      </c>
      <c r="B51" t="s">
        <v>48</v>
      </c>
      <c r="C51" t="s">
        <v>49</v>
      </c>
      <c r="D51" t="s">
        <v>928</v>
      </c>
      <c r="E51">
        <v>8.0212608979873394</v>
      </c>
      <c r="F51">
        <f t="shared" si="4"/>
        <v>105017311.99999917</v>
      </c>
      <c r="G51">
        <f t="shared" si="5"/>
        <v>10943228623.999908</v>
      </c>
      <c r="H51" s="10">
        <f t="shared" si="6"/>
        <v>0.57638319063051857</v>
      </c>
      <c r="I51" s="11">
        <f t="shared" si="7"/>
        <v>5.5312938659848173E-3</v>
      </c>
      <c r="J51" t="s">
        <v>989</v>
      </c>
      <c r="K51" t="s">
        <v>1486</v>
      </c>
      <c r="L51" t="s">
        <v>1487</v>
      </c>
    </row>
    <row r="52" spans="1:12">
      <c r="A52">
        <v>51</v>
      </c>
      <c r="B52" t="s">
        <v>690</v>
      </c>
      <c r="C52" t="s">
        <v>691</v>
      </c>
      <c r="D52" t="s">
        <v>928</v>
      </c>
      <c r="E52">
        <v>8.0098981502147808</v>
      </c>
      <c r="F52">
        <f t="shared" si="4"/>
        <v>102305303.99999852</v>
      </c>
      <c r="G52">
        <f t="shared" si="5"/>
        <v>11045533927.999907</v>
      </c>
      <c r="H52" s="10">
        <f t="shared" si="6"/>
        <v>0.58177164220765387</v>
      </c>
      <c r="I52" s="11">
        <f t="shared" si="7"/>
        <v>5.3884515771352856E-3</v>
      </c>
      <c r="J52" t="s">
        <v>990</v>
      </c>
      <c r="K52" t="s">
        <v>1488</v>
      </c>
      <c r="L52" t="s">
        <v>1489</v>
      </c>
    </row>
    <row r="53" spans="1:12">
      <c r="A53">
        <v>52</v>
      </c>
      <c r="B53" t="s">
        <v>844</v>
      </c>
      <c r="C53" t="s">
        <v>845</v>
      </c>
      <c r="D53" t="s">
        <v>928</v>
      </c>
      <c r="E53">
        <v>7.9971637448636601</v>
      </c>
      <c r="F53">
        <f t="shared" si="4"/>
        <v>99349055.999999523</v>
      </c>
      <c r="G53">
        <f t="shared" si="5"/>
        <v>11144882983.999907</v>
      </c>
      <c r="H53" s="10">
        <f t="shared" si="6"/>
        <v>0.5870043873006171</v>
      </c>
      <c r="I53" s="11">
        <f t="shared" si="7"/>
        <v>5.2327450929631853E-3</v>
      </c>
      <c r="J53" t="s">
        <v>991</v>
      </c>
      <c r="K53" t="s">
        <v>1490</v>
      </c>
      <c r="L53" t="s">
        <v>1491</v>
      </c>
    </row>
    <row r="54" spans="1:12">
      <c r="A54">
        <v>53</v>
      </c>
      <c r="B54" t="s">
        <v>86</v>
      </c>
      <c r="C54" t="s">
        <v>87</v>
      </c>
      <c r="D54" t="s">
        <v>928</v>
      </c>
      <c r="E54">
        <v>7.9959940981228996</v>
      </c>
      <c r="F54">
        <f t="shared" si="4"/>
        <v>99081847.999999285</v>
      </c>
      <c r="G54">
        <f t="shared" si="5"/>
        <v>11243964831.999907</v>
      </c>
      <c r="H54" s="10">
        <f t="shared" si="6"/>
        <v>0.59222305846668966</v>
      </c>
      <c r="I54" s="11">
        <f t="shared" si="7"/>
        <v>5.2186711660725084E-3</v>
      </c>
      <c r="J54" t="s">
        <v>992</v>
      </c>
      <c r="K54" t="s">
        <v>1492</v>
      </c>
      <c r="L54" t="s">
        <v>1493</v>
      </c>
    </row>
    <row r="55" spans="1:12">
      <c r="A55">
        <v>54</v>
      </c>
      <c r="B55" t="s">
        <v>492</v>
      </c>
      <c r="C55" t="s">
        <v>493</v>
      </c>
      <c r="D55" t="s">
        <v>928</v>
      </c>
      <c r="E55">
        <v>7.9877855633526602</v>
      </c>
      <c r="F55">
        <f t="shared" si="4"/>
        <v>97226703.999999151</v>
      </c>
      <c r="G55">
        <f t="shared" si="5"/>
        <v>11341191535.999907</v>
      </c>
      <c r="H55" s="10">
        <f t="shared" si="6"/>
        <v>0.59734401863223952</v>
      </c>
      <c r="I55" s="11">
        <f t="shared" si="7"/>
        <v>5.1209601655498585E-3</v>
      </c>
      <c r="J55" t="s">
        <v>993</v>
      </c>
      <c r="K55" t="s">
        <v>1494</v>
      </c>
      <c r="L55" t="s">
        <v>1495</v>
      </c>
    </row>
    <row r="56" spans="1:12">
      <c r="A56">
        <v>55</v>
      </c>
      <c r="B56" t="s">
        <v>220</v>
      </c>
      <c r="C56" t="s">
        <v>221</v>
      </c>
      <c r="D56" t="s">
        <v>928</v>
      </c>
      <c r="E56">
        <v>7.97590909543863</v>
      </c>
      <c r="F56">
        <f t="shared" si="4"/>
        <v>94603911.999998361</v>
      </c>
      <c r="G56">
        <f t="shared" si="5"/>
        <v>11435795447.999905</v>
      </c>
      <c r="H56" s="10">
        <f t="shared" si="6"/>
        <v>0.60232683554288147</v>
      </c>
      <c r="I56" s="11">
        <f t="shared" si="7"/>
        <v>4.9828169106419578E-3</v>
      </c>
      <c r="J56" t="s">
        <v>994</v>
      </c>
      <c r="K56" t="s">
        <v>1496</v>
      </c>
      <c r="L56" t="s">
        <v>1497</v>
      </c>
    </row>
    <row r="57" spans="1:12">
      <c r="A57">
        <v>56</v>
      </c>
      <c r="B57" t="s">
        <v>206</v>
      </c>
      <c r="C57" t="s">
        <v>207</v>
      </c>
      <c r="D57" t="s">
        <v>928</v>
      </c>
      <c r="E57">
        <v>7.9713438828777301</v>
      </c>
      <c r="F57">
        <f t="shared" si="4"/>
        <v>93614663.999999031</v>
      </c>
      <c r="G57">
        <f t="shared" si="5"/>
        <v>11529410111.999903</v>
      </c>
      <c r="H57" s="10">
        <f t="shared" si="6"/>
        <v>0.60725754845952351</v>
      </c>
      <c r="I57" s="11">
        <f t="shared" si="7"/>
        <v>4.9307129166420533E-3</v>
      </c>
      <c r="J57" t="s">
        <v>995</v>
      </c>
      <c r="K57" t="s">
        <v>1498</v>
      </c>
      <c r="L57" t="s">
        <v>1499</v>
      </c>
    </row>
    <row r="58" spans="1:12">
      <c r="A58">
        <v>57</v>
      </c>
      <c r="B58" t="s">
        <v>802</v>
      </c>
      <c r="C58" t="s">
        <v>803</v>
      </c>
      <c r="D58" t="s">
        <v>928</v>
      </c>
      <c r="E58">
        <v>7.9546242505329898</v>
      </c>
      <c r="F58">
        <f t="shared" si="4"/>
        <v>90079143.999999285</v>
      </c>
      <c r="G58">
        <f t="shared" si="5"/>
        <v>11619489255.999903</v>
      </c>
      <c r="H58" s="10">
        <f t="shared" si="6"/>
        <v>0.61200204445900563</v>
      </c>
      <c r="I58" s="11">
        <f t="shared" si="7"/>
        <v>4.7444959994820957E-3</v>
      </c>
      <c r="J58" s="12" t="s">
        <v>996</v>
      </c>
      <c r="K58" t="s">
        <v>1500</v>
      </c>
      <c r="L58" t="s">
        <v>1501</v>
      </c>
    </row>
    <row r="59" spans="1:12">
      <c r="A59">
        <v>58</v>
      </c>
      <c r="B59" t="s">
        <v>582</v>
      </c>
      <c r="C59" t="s">
        <v>583</v>
      </c>
      <c r="D59" t="s">
        <v>928</v>
      </c>
      <c r="E59">
        <v>7.9365612307883104</v>
      </c>
      <c r="F59">
        <f t="shared" si="4"/>
        <v>86409447.99999842</v>
      </c>
      <c r="G59">
        <f t="shared" si="5"/>
        <v>11705898703.999901</v>
      </c>
      <c r="H59" s="10">
        <f t="shared" si="6"/>
        <v>0.61655325645046788</v>
      </c>
      <c r="I59" s="11">
        <f t="shared" si="7"/>
        <v>4.5512119914622182E-3</v>
      </c>
      <c r="J59" t="s">
        <v>997</v>
      </c>
      <c r="K59" t="s">
        <v>1502</v>
      </c>
      <c r="L59" t="s">
        <v>1503</v>
      </c>
    </row>
    <row r="60" spans="1:12">
      <c r="A60">
        <v>59</v>
      </c>
      <c r="B60" t="s">
        <v>638</v>
      </c>
      <c r="C60" t="s">
        <v>639</v>
      </c>
      <c r="D60" t="s">
        <v>928</v>
      </c>
      <c r="E60">
        <v>7.9329832949115699</v>
      </c>
      <c r="F60">
        <f t="shared" si="4"/>
        <v>85700487.999999493</v>
      </c>
      <c r="G60">
        <f t="shared" si="5"/>
        <v>11791599191.999901</v>
      </c>
      <c r="H60" s="10">
        <f t="shared" si="6"/>
        <v>0.62106712730241187</v>
      </c>
      <c r="I60" s="11">
        <f t="shared" si="7"/>
        <v>4.5138708519439769E-3</v>
      </c>
      <c r="J60" t="s">
        <v>998</v>
      </c>
      <c r="K60" t="s">
        <v>1504</v>
      </c>
      <c r="L60" t="s">
        <v>1505</v>
      </c>
    </row>
    <row r="61" spans="1:12">
      <c r="A61">
        <v>60</v>
      </c>
      <c r="B61" t="s">
        <v>100</v>
      </c>
      <c r="C61" t="s">
        <v>101</v>
      </c>
      <c r="D61" t="s">
        <v>928</v>
      </c>
      <c r="E61">
        <v>7.9270479825363296</v>
      </c>
      <c r="F61">
        <f t="shared" si="4"/>
        <v>84537223.999998137</v>
      </c>
      <c r="G61">
        <f t="shared" si="5"/>
        <v>11876136415.999899</v>
      </c>
      <c r="H61" s="10">
        <f t="shared" si="6"/>
        <v>0.62551972868453998</v>
      </c>
      <c r="I61" s="11">
        <f t="shared" si="7"/>
        <v>4.4526013821281005E-3</v>
      </c>
      <c r="J61" t="s">
        <v>999</v>
      </c>
      <c r="K61" t="s">
        <v>1506</v>
      </c>
      <c r="L61" t="s">
        <v>1507</v>
      </c>
    </row>
    <row r="62" spans="1:12">
      <c r="A62">
        <v>61</v>
      </c>
      <c r="B62" t="s">
        <v>810</v>
      </c>
      <c r="C62" t="s">
        <v>811</v>
      </c>
      <c r="D62" t="s">
        <v>928</v>
      </c>
      <c r="E62">
        <v>7.9028181638858799</v>
      </c>
      <c r="F62">
        <f t="shared" si="4"/>
        <v>79949943.999998748</v>
      </c>
      <c r="G62">
        <f t="shared" si="5"/>
        <v>11956086359.999897</v>
      </c>
      <c r="H62" s="10">
        <f t="shared" si="6"/>
        <v>0.62973071662939439</v>
      </c>
      <c r="I62" s="11">
        <f t="shared" si="7"/>
        <v>4.210987944854523E-3</v>
      </c>
      <c r="J62" t="s">
        <v>1000</v>
      </c>
      <c r="K62" t="s">
        <v>1508</v>
      </c>
      <c r="L62" t="s">
        <v>1509</v>
      </c>
    </row>
    <row r="63" spans="1:12">
      <c r="A63">
        <v>62</v>
      </c>
      <c r="B63" t="s">
        <v>602</v>
      </c>
      <c r="C63" t="s">
        <v>603</v>
      </c>
      <c r="D63" t="s">
        <v>928</v>
      </c>
      <c r="E63">
        <v>7.89806872556749</v>
      </c>
      <c r="F63">
        <f t="shared" si="4"/>
        <v>79080375.999999434</v>
      </c>
      <c r="G63">
        <f t="shared" si="5"/>
        <v>12035166735.999897</v>
      </c>
      <c r="H63" s="10">
        <f t="shared" si="6"/>
        <v>0.63389590416236585</v>
      </c>
      <c r="I63" s="11">
        <f t="shared" si="7"/>
        <v>4.1651875329714524E-3</v>
      </c>
      <c r="J63" t="s">
        <v>1001</v>
      </c>
      <c r="K63" t="s">
        <v>1510</v>
      </c>
      <c r="L63" t="s">
        <v>1511</v>
      </c>
    </row>
    <row r="64" spans="1:12">
      <c r="A64">
        <v>63</v>
      </c>
      <c r="B64" t="s">
        <v>208</v>
      </c>
      <c r="C64" t="s">
        <v>209</v>
      </c>
      <c r="D64" t="s">
        <v>928</v>
      </c>
      <c r="E64">
        <v>7.87874646753726</v>
      </c>
      <c r="F64">
        <f t="shared" si="4"/>
        <v>75639119.999999493</v>
      </c>
      <c r="G64">
        <f t="shared" si="5"/>
        <v>12110805855.999897</v>
      </c>
      <c r="H64" s="10">
        <f t="shared" si="6"/>
        <v>0.63787983969181927</v>
      </c>
      <c r="I64" s="11">
        <f t="shared" si="7"/>
        <v>3.9839355294533727E-3</v>
      </c>
      <c r="J64" t="s">
        <v>1002</v>
      </c>
      <c r="K64" t="s">
        <v>1512</v>
      </c>
      <c r="L64" t="s">
        <v>1513</v>
      </c>
    </row>
    <row r="65" spans="1:12">
      <c r="A65">
        <v>64</v>
      </c>
      <c r="B65" t="s">
        <v>678</v>
      </c>
      <c r="C65" t="s">
        <v>679</v>
      </c>
      <c r="D65" t="s">
        <v>928</v>
      </c>
      <c r="E65">
        <v>7.8750656642201502</v>
      </c>
      <c r="F65">
        <f t="shared" si="4"/>
        <v>75000759.999999791</v>
      </c>
      <c r="G65">
        <f t="shared" si="5"/>
        <v>12185806615.999897</v>
      </c>
      <c r="H65" s="10">
        <f t="shared" si="6"/>
        <v>0.64183015260529597</v>
      </c>
      <c r="I65" s="11">
        <f t="shared" si="7"/>
        <v>3.9503129134766052E-3</v>
      </c>
      <c r="J65" t="s">
        <v>1003</v>
      </c>
      <c r="K65" t="s">
        <v>1514</v>
      </c>
      <c r="L65" t="s">
        <v>1515</v>
      </c>
    </row>
    <row r="66" spans="1:12">
      <c r="A66">
        <v>65</v>
      </c>
      <c r="B66" t="s">
        <v>118</v>
      </c>
      <c r="C66" t="s">
        <v>119</v>
      </c>
      <c r="D66" t="s">
        <v>928</v>
      </c>
      <c r="E66">
        <v>7.8749827821833804</v>
      </c>
      <c r="F66">
        <f t="shared" si="4"/>
        <v>74986447.999998808</v>
      </c>
      <c r="G66">
        <f t="shared" si="5"/>
        <v>12260793063.999895</v>
      </c>
      <c r="H66" s="10">
        <f t="shared" si="6"/>
        <v>0.6457797117013655</v>
      </c>
      <c r="I66" s="11">
        <f t="shared" si="7"/>
        <v>3.949559096069667E-3</v>
      </c>
      <c r="J66" t="s">
        <v>1004</v>
      </c>
      <c r="K66" t="s">
        <v>1516</v>
      </c>
      <c r="L66" t="s">
        <v>1517</v>
      </c>
    </row>
    <row r="67" spans="1:12">
      <c r="A67">
        <v>66</v>
      </c>
      <c r="B67" t="s">
        <v>674</v>
      </c>
      <c r="C67" t="s">
        <v>675</v>
      </c>
      <c r="D67" t="s">
        <v>928</v>
      </c>
      <c r="E67">
        <v>7.8718515418034896</v>
      </c>
      <c r="F67">
        <f t="shared" si="4"/>
        <v>74447743.999999538</v>
      </c>
      <c r="G67">
        <f t="shared" si="5"/>
        <v>12335240807.999895</v>
      </c>
      <c r="H67" s="10">
        <f t="shared" si="6"/>
        <v>0.64970089709338563</v>
      </c>
      <c r="I67" s="11">
        <f t="shared" si="7"/>
        <v>3.9211853920200195E-3</v>
      </c>
      <c r="J67" t="s">
        <v>1005</v>
      </c>
      <c r="K67" t="s">
        <v>1518</v>
      </c>
      <c r="L67" t="s">
        <v>1519</v>
      </c>
    </row>
    <row r="68" spans="1:12">
      <c r="A68">
        <v>67</v>
      </c>
      <c r="B68" t="s">
        <v>708</v>
      </c>
      <c r="C68" t="s">
        <v>709</v>
      </c>
      <c r="D68" t="s">
        <v>928</v>
      </c>
      <c r="E68">
        <v>7.8591266198419198</v>
      </c>
      <c r="F68">
        <f t="shared" si="4"/>
        <v>72298055.999999061</v>
      </c>
      <c r="G68">
        <f t="shared" si="5"/>
        <v>12407538863.999895</v>
      </c>
      <c r="H68" s="10">
        <f t="shared" si="6"/>
        <v>0.65350885776253154</v>
      </c>
      <c r="I68" s="11">
        <f t="shared" si="7"/>
        <v>3.8079606691459101E-3</v>
      </c>
      <c r="J68" t="s">
        <v>1006</v>
      </c>
      <c r="K68" t="s">
        <v>1520</v>
      </c>
      <c r="L68" t="s">
        <v>1521</v>
      </c>
    </row>
    <row r="69" spans="1:12">
      <c r="A69">
        <v>68</v>
      </c>
      <c r="B69" t="s">
        <v>686</v>
      </c>
      <c r="C69" t="s">
        <v>687</v>
      </c>
      <c r="D69" t="s">
        <v>928</v>
      </c>
      <c r="E69">
        <v>7.8574366181144999</v>
      </c>
      <c r="F69">
        <f t="shared" si="4"/>
        <v>72017263.999999091</v>
      </c>
      <c r="G69">
        <f t="shared" si="5"/>
        <v>12479556127.999895</v>
      </c>
      <c r="H69" s="10">
        <f t="shared" si="6"/>
        <v>0.65730202903136203</v>
      </c>
      <c r="I69" s="11">
        <f t="shared" si="7"/>
        <v>3.7931712688304892E-3</v>
      </c>
      <c r="J69" t="s">
        <v>1007</v>
      </c>
      <c r="K69" t="s">
        <v>1522</v>
      </c>
      <c r="L69" t="s">
        <v>1523</v>
      </c>
    </row>
    <row r="70" spans="1:12">
      <c r="A70">
        <v>69</v>
      </c>
      <c r="B70" t="s">
        <v>526</v>
      </c>
      <c r="C70" t="s">
        <v>527</v>
      </c>
      <c r="D70" t="s">
        <v>928</v>
      </c>
      <c r="E70">
        <v>7.8554902744273001</v>
      </c>
      <c r="F70">
        <f t="shared" si="4"/>
        <v>71695231.999999002</v>
      </c>
      <c r="G70">
        <f t="shared" si="5"/>
        <v>12551251359.999893</v>
      </c>
      <c r="H70" s="10">
        <f t="shared" si="6"/>
        <v>0.66107823877649396</v>
      </c>
      <c r="I70" s="11">
        <f t="shared" si="7"/>
        <v>3.7762097451318889E-3</v>
      </c>
      <c r="J70" t="s">
        <v>1008</v>
      </c>
      <c r="K70" t="s">
        <v>1469</v>
      </c>
      <c r="L70" t="s">
        <v>1524</v>
      </c>
    </row>
    <row r="71" spans="1:12">
      <c r="A71">
        <v>70</v>
      </c>
      <c r="B71" t="s">
        <v>752</v>
      </c>
      <c r="C71" t="s">
        <v>753</v>
      </c>
      <c r="D71" t="s">
        <v>928</v>
      </c>
      <c r="E71">
        <v>7.8552235167614297</v>
      </c>
      <c r="F71">
        <f t="shared" si="4"/>
        <v>71651207.999998465</v>
      </c>
      <c r="G71">
        <f t="shared" si="5"/>
        <v>12622902567.999891</v>
      </c>
      <c r="H71" s="10">
        <f t="shared" si="6"/>
        <v>0.66485212976411312</v>
      </c>
      <c r="I71" s="11">
        <f t="shared" si="7"/>
        <v>3.7738909876192314E-3</v>
      </c>
      <c r="J71" t="s">
        <v>1009</v>
      </c>
      <c r="K71" t="s">
        <v>1525</v>
      </c>
      <c r="L71" t="s">
        <v>1526</v>
      </c>
    </row>
    <row r="72" spans="1:12">
      <c r="A72">
        <v>71</v>
      </c>
      <c r="B72" t="s">
        <v>18</v>
      </c>
      <c r="C72" t="s">
        <v>19</v>
      </c>
      <c r="D72" t="s">
        <v>928</v>
      </c>
      <c r="E72">
        <v>7.8493267708076404</v>
      </c>
      <c r="F72">
        <f t="shared" si="4"/>
        <v>70684919.999998882</v>
      </c>
      <c r="G72">
        <f t="shared" si="5"/>
        <v>12693587487.999889</v>
      </c>
      <c r="H72" s="10">
        <f t="shared" si="6"/>
        <v>0.66857512606793801</v>
      </c>
      <c r="I72" s="11">
        <f t="shared" si="7"/>
        <v>3.7229963038248825E-3</v>
      </c>
      <c r="J72" t="s">
        <v>1010</v>
      </c>
      <c r="K72" t="s">
        <v>1527</v>
      </c>
      <c r="L72" t="s">
        <v>1528</v>
      </c>
    </row>
    <row r="73" spans="1:12">
      <c r="A73">
        <v>72</v>
      </c>
      <c r="B73" t="s">
        <v>146</v>
      </c>
      <c r="C73" t="s">
        <v>147</v>
      </c>
      <c r="D73" t="s">
        <v>928</v>
      </c>
      <c r="E73">
        <v>7.8425355530545202</v>
      </c>
      <c r="F73">
        <f t="shared" ref="F73:F136" si="8">POWER(10,E73)</f>
        <v>69588191.999998957</v>
      </c>
      <c r="G73">
        <f t="shared" ref="G73:G136" si="9">SUM(F73,G72)</f>
        <v>12763175679.999887</v>
      </c>
      <c r="H73" s="10">
        <f t="shared" ref="H73:H136" si="10">G73/$F$1</f>
        <v>0.67224035737336851</v>
      </c>
      <c r="I73" s="11">
        <f t="shared" ref="I73:I136" si="11">F73/F$1</f>
        <v>3.665231305430585E-3</v>
      </c>
      <c r="J73" t="s">
        <v>1011</v>
      </c>
      <c r="K73" t="s">
        <v>1529</v>
      </c>
      <c r="L73" t="s">
        <v>1530</v>
      </c>
    </row>
    <row r="74" spans="1:12">
      <c r="A74">
        <v>73</v>
      </c>
      <c r="B74" t="s">
        <v>648</v>
      </c>
      <c r="C74" t="s">
        <v>649</v>
      </c>
      <c r="D74" t="s">
        <v>928</v>
      </c>
      <c r="E74">
        <v>7.8422390829789199</v>
      </c>
      <c r="F74">
        <f t="shared" si="8"/>
        <v>69540703.999998644</v>
      </c>
      <c r="G74">
        <f t="shared" si="9"/>
        <v>12832716383.999886</v>
      </c>
      <c r="H74" s="10">
        <f t="shared" si="10"/>
        <v>0.67590308747134953</v>
      </c>
      <c r="I74" s="11">
        <f t="shared" si="11"/>
        <v>3.6627300979810017E-3</v>
      </c>
      <c r="J74" t="s">
        <v>1012</v>
      </c>
      <c r="K74" t="s">
        <v>1531</v>
      </c>
      <c r="L74" t="s">
        <v>1532</v>
      </c>
    </row>
    <row r="75" spans="1:12">
      <c r="A75">
        <v>74</v>
      </c>
      <c r="B75" t="s">
        <v>814</v>
      </c>
      <c r="C75" t="s">
        <v>815</v>
      </c>
      <c r="D75" t="s">
        <v>928</v>
      </c>
      <c r="E75">
        <v>7.84202484532035</v>
      </c>
      <c r="F75">
        <f t="shared" si="8"/>
        <v>69506407.99999994</v>
      </c>
      <c r="G75">
        <f t="shared" si="9"/>
        <v>12902222791.999886</v>
      </c>
      <c r="H75" s="10">
        <f t="shared" si="10"/>
        <v>0.67956401118854615</v>
      </c>
      <c r="I75" s="11">
        <f t="shared" si="11"/>
        <v>3.660923717196654E-3</v>
      </c>
      <c r="J75" t="s">
        <v>1013</v>
      </c>
      <c r="K75" t="s">
        <v>1533</v>
      </c>
      <c r="L75" t="s">
        <v>1534</v>
      </c>
    </row>
    <row r="76" spans="1:12">
      <c r="A76">
        <v>75</v>
      </c>
      <c r="B76" t="s">
        <v>28</v>
      </c>
      <c r="C76" t="s">
        <v>29</v>
      </c>
      <c r="D76" t="s">
        <v>928</v>
      </c>
      <c r="E76">
        <v>7.8378018970558001</v>
      </c>
      <c r="F76">
        <f t="shared" si="8"/>
        <v>68833823.999999642</v>
      </c>
      <c r="G76">
        <f t="shared" si="9"/>
        <v>12971056615.999886</v>
      </c>
      <c r="H76" s="10">
        <f t="shared" si="10"/>
        <v>0.68318950970124359</v>
      </c>
      <c r="I76" s="11">
        <f t="shared" si="11"/>
        <v>3.6254985126974071E-3</v>
      </c>
      <c r="J76" t="s">
        <v>1014</v>
      </c>
      <c r="K76" t="s">
        <v>1535</v>
      </c>
      <c r="L76" t="s">
        <v>1536</v>
      </c>
    </row>
    <row r="77" spans="1:12">
      <c r="A77">
        <v>76</v>
      </c>
      <c r="B77" t="s">
        <v>428</v>
      </c>
      <c r="C77" t="s">
        <v>429</v>
      </c>
      <c r="D77" t="s">
        <v>928</v>
      </c>
      <c r="E77">
        <v>7.82995620405993</v>
      </c>
      <c r="F77">
        <f t="shared" si="8"/>
        <v>67601479.999998808</v>
      </c>
      <c r="G77">
        <f t="shared" si="9"/>
        <v>13038658095.999884</v>
      </c>
      <c r="H77" s="10">
        <f t="shared" si="10"/>
        <v>0.68675010027944738</v>
      </c>
      <c r="I77" s="11">
        <f t="shared" si="11"/>
        <v>3.560590578203827E-3</v>
      </c>
      <c r="J77" t="s">
        <v>1015</v>
      </c>
      <c r="K77" t="s">
        <v>1537</v>
      </c>
      <c r="L77" t="s">
        <v>1538</v>
      </c>
    </row>
    <row r="78" spans="1:12">
      <c r="A78">
        <v>77</v>
      </c>
      <c r="B78" t="s">
        <v>204</v>
      </c>
      <c r="C78" t="s">
        <v>205</v>
      </c>
      <c r="D78" t="s">
        <v>928</v>
      </c>
      <c r="E78">
        <v>7.8292781905240796</v>
      </c>
      <c r="F78">
        <f t="shared" si="8"/>
        <v>67496023.999998748</v>
      </c>
      <c r="G78">
        <f t="shared" si="9"/>
        <v>13106154119.999882</v>
      </c>
      <c r="H78" s="10">
        <f t="shared" si="10"/>
        <v>0.69030513645795433</v>
      </c>
      <c r="I78" s="11">
        <f t="shared" si="11"/>
        <v>3.5550361785070261E-3</v>
      </c>
      <c r="J78" t="s">
        <v>1016</v>
      </c>
      <c r="K78" t="s">
        <v>1539</v>
      </c>
      <c r="L78" t="s">
        <v>1540</v>
      </c>
    </row>
    <row r="79" spans="1:12">
      <c r="A79">
        <v>78</v>
      </c>
      <c r="B79" t="s">
        <v>46</v>
      </c>
      <c r="C79" t="s">
        <v>47</v>
      </c>
      <c r="D79" t="s">
        <v>928</v>
      </c>
      <c r="E79">
        <v>7.8197226964688804</v>
      </c>
      <c r="F79">
        <f t="shared" si="8"/>
        <v>66027171.999999829</v>
      </c>
      <c r="G79">
        <f t="shared" si="9"/>
        <v>13172181291.999882</v>
      </c>
      <c r="H79" s="10">
        <f t="shared" si="10"/>
        <v>0.69378280775344447</v>
      </c>
      <c r="I79" s="11">
        <f t="shared" si="11"/>
        <v>3.477671295490085E-3</v>
      </c>
      <c r="J79" t="s">
        <v>1017</v>
      </c>
      <c r="K79" t="s">
        <v>1541</v>
      </c>
      <c r="L79" t="s">
        <v>1542</v>
      </c>
    </row>
    <row r="80" spans="1:12">
      <c r="A80">
        <v>79</v>
      </c>
      <c r="B80" t="s">
        <v>564</v>
      </c>
      <c r="C80" t="s">
        <v>565</v>
      </c>
      <c r="D80" t="s">
        <v>928</v>
      </c>
      <c r="E80">
        <v>7.8186934390516001</v>
      </c>
      <c r="F80">
        <f t="shared" si="8"/>
        <v>65870876.000000037</v>
      </c>
      <c r="G80">
        <f t="shared" si="9"/>
        <v>13238052167.999882</v>
      </c>
      <c r="H80" s="10">
        <f t="shared" si="10"/>
        <v>0.69725224689092546</v>
      </c>
      <c r="I80" s="11">
        <f t="shared" si="11"/>
        <v>3.4694391374809675E-3</v>
      </c>
      <c r="J80" t="s">
        <v>1018</v>
      </c>
      <c r="K80" t="s">
        <v>1510</v>
      </c>
      <c r="L80" t="s">
        <v>1543</v>
      </c>
    </row>
    <row r="81" spans="1:12">
      <c r="A81">
        <v>80</v>
      </c>
      <c r="B81" t="s">
        <v>788</v>
      </c>
      <c r="C81" t="s">
        <v>789</v>
      </c>
      <c r="D81" t="s">
        <v>928</v>
      </c>
      <c r="E81">
        <v>7.8140687254931303</v>
      </c>
      <c r="F81">
        <f t="shared" si="8"/>
        <v>65173151.999999955</v>
      </c>
      <c r="G81">
        <f t="shared" si="9"/>
        <v>13303225319.999882</v>
      </c>
      <c r="H81" s="10">
        <f t="shared" si="10"/>
        <v>0.70068493669243637</v>
      </c>
      <c r="I81" s="11">
        <f t="shared" si="11"/>
        <v>3.432689801511E-3</v>
      </c>
      <c r="J81" t="s">
        <v>1019</v>
      </c>
      <c r="K81" t="s">
        <v>1544</v>
      </c>
      <c r="L81" t="s">
        <v>1545</v>
      </c>
    </row>
    <row r="82" spans="1:12">
      <c r="A82">
        <v>81</v>
      </c>
      <c r="B82" t="s">
        <v>76</v>
      </c>
      <c r="C82" t="s">
        <v>77</v>
      </c>
      <c r="D82" t="s">
        <v>928</v>
      </c>
      <c r="E82">
        <v>7.8050251438023599</v>
      </c>
      <c r="F82">
        <f t="shared" si="8"/>
        <v>63830043.999999091</v>
      </c>
      <c r="G82">
        <f t="shared" si="9"/>
        <v>13367055363.999882</v>
      </c>
      <c r="H82" s="10">
        <f t="shared" si="10"/>
        <v>0.70404688458577747</v>
      </c>
      <c r="I82" s="11">
        <f t="shared" si="11"/>
        <v>3.3619478933410406E-3</v>
      </c>
      <c r="J82" t="s">
        <v>1020</v>
      </c>
      <c r="K82" t="s">
        <v>1546</v>
      </c>
      <c r="L82" t="s">
        <v>1547</v>
      </c>
    </row>
    <row r="83" spans="1:12">
      <c r="A83">
        <v>82</v>
      </c>
      <c r="B83" t="s">
        <v>210</v>
      </c>
      <c r="C83" t="s">
        <v>211</v>
      </c>
      <c r="D83" t="s">
        <v>928</v>
      </c>
      <c r="E83">
        <v>7.8024793174913496</v>
      </c>
      <c r="F83">
        <f t="shared" si="8"/>
        <v>63456967.999998763</v>
      </c>
      <c r="G83">
        <f t="shared" si="9"/>
        <v>13430512331.99988</v>
      </c>
      <c r="H83" s="10">
        <f t="shared" si="10"/>
        <v>0.70738918245236537</v>
      </c>
      <c r="I83" s="11">
        <f t="shared" si="11"/>
        <v>3.342297866587852E-3</v>
      </c>
      <c r="J83" t="s">
        <v>1021</v>
      </c>
      <c r="K83" t="s">
        <v>1548</v>
      </c>
      <c r="L83" t="s">
        <v>1549</v>
      </c>
    </row>
    <row r="84" spans="1:12">
      <c r="A84">
        <v>83</v>
      </c>
      <c r="B84" t="s">
        <v>714</v>
      </c>
      <c r="C84" t="s">
        <v>715</v>
      </c>
      <c r="D84" t="s">
        <v>928</v>
      </c>
      <c r="E84">
        <v>7.7992188196432002</v>
      </c>
      <c r="F84">
        <f t="shared" si="8"/>
        <v>62982343.999998726</v>
      </c>
      <c r="G84">
        <f t="shared" si="9"/>
        <v>13493494675.999878</v>
      </c>
      <c r="H84" s="10">
        <f t="shared" si="10"/>
        <v>0.71070648172805562</v>
      </c>
      <c r="I84" s="11">
        <f t="shared" si="11"/>
        <v>3.3172992756902919E-3</v>
      </c>
      <c r="J84" t="s">
        <v>1022</v>
      </c>
      <c r="K84" t="s">
        <v>1550</v>
      </c>
      <c r="L84" t="s">
        <v>1551</v>
      </c>
    </row>
    <row r="85" spans="1:12">
      <c r="A85">
        <v>84</v>
      </c>
      <c r="B85" t="s">
        <v>132</v>
      </c>
      <c r="C85" t="s">
        <v>133</v>
      </c>
      <c r="D85" t="s">
        <v>928</v>
      </c>
      <c r="E85">
        <v>7.7730018424423104</v>
      </c>
      <c r="F85">
        <f t="shared" si="8"/>
        <v>59292783.999999195</v>
      </c>
      <c r="G85">
        <f t="shared" si="9"/>
        <v>13552787459.999878</v>
      </c>
      <c r="H85" s="10">
        <f t="shared" si="10"/>
        <v>0.71382945075278514</v>
      </c>
      <c r="I85" s="11">
        <f t="shared" si="11"/>
        <v>3.1229690247295693E-3</v>
      </c>
      <c r="J85" t="s">
        <v>1023</v>
      </c>
      <c r="K85" t="s">
        <v>1552</v>
      </c>
      <c r="L85" t="s">
        <v>1553</v>
      </c>
    </row>
    <row r="86" spans="1:12">
      <c r="A86">
        <v>85</v>
      </c>
      <c r="B86" t="s">
        <v>416</v>
      </c>
      <c r="C86" t="s">
        <v>417</v>
      </c>
      <c r="D86" t="s">
        <v>928</v>
      </c>
      <c r="E86">
        <v>7.7669763205877</v>
      </c>
      <c r="F86">
        <f t="shared" si="8"/>
        <v>58475819.999999836</v>
      </c>
      <c r="G86">
        <f t="shared" si="9"/>
        <v>13611263279.999878</v>
      </c>
      <c r="H86" s="10">
        <f t="shared" si="10"/>
        <v>0.71690939003436227</v>
      </c>
      <c r="I86" s="11">
        <f t="shared" si="11"/>
        <v>3.0799392815770601E-3</v>
      </c>
      <c r="J86" t="s">
        <v>1024</v>
      </c>
      <c r="K86" t="s">
        <v>1554</v>
      </c>
      <c r="L86" t="s">
        <v>1555</v>
      </c>
    </row>
    <row r="87" spans="1:12">
      <c r="A87">
        <v>86</v>
      </c>
      <c r="B87" t="s">
        <v>530</v>
      </c>
      <c r="C87" t="s">
        <v>531</v>
      </c>
      <c r="D87" t="s">
        <v>928</v>
      </c>
      <c r="E87">
        <v>7.7597260589072601</v>
      </c>
      <c r="F87">
        <f t="shared" si="8"/>
        <v>57507707.999999501</v>
      </c>
      <c r="G87">
        <f t="shared" si="9"/>
        <v>13668770987.999878</v>
      </c>
      <c r="H87" s="10">
        <f t="shared" si="10"/>
        <v>0.71993833856150846</v>
      </c>
      <c r="I87" s="11">
        <f t="shared" si="11"/>
        <v>3.0289485271461319E-3</v>
      </c>
      <c r="J87" t="s">
        <v>1025</v>
      </c>
      <c r="K87" t="s">
        <v>1556</v>
      </c>
      <c r="L87" t="s">
        <v>1557</v>
      </c>
    </row>
    <row r="88" spans="1:12">
      <c r="A88">
        <v>87</v>
      </c>
      <c r="B88" t="s">
        <v>276</v>
      </c>
      <c r="C88" t="s">
        <v>277</v>
      </c>
      <c r="D88" t="s">
        <v>928</v>
      </c>
      <c r="E88">
        <v>7.7585325135120398</v>
      </c>
      <c r="F88">
        <f t="shared" si="8"/>
        <v>57349879.999998875</v>
      </c>
      <c r="G88">
        <f t="shared" si="9"/>
        <v>13726120867.999876</v>
      </c>
      <c r="H88" s="10">
        <f t="shared" si="10"/>
        <v>0.72295897423973787</v>
      </c>
      <c r="I88" s="11">
        <f t="shared" si="11"/>
        <v>3.0206356782295253E-3</v>
      </c>
      <c r="J88" t="s">
        <v>1026</v>
      </c>
      <c r="K88" t="s">
        <v>1558</v>
      </c>
      <c r="L88" t="s">
        <v>1559</v>
      </c>
    </row>
    <row r="89" spans="1:12">
      <c r="A89">
        <v>88</v>
      </c>
      <c r="B89" t="s">
        <v>474</v>
      </c>
      <c r="C89" t="s">
        <v>475</v>
      </c>
      <c r="D89" t="s">
        <v>928</v>
      </c>
      <c r="E89">
        <v>7.7573498635693401</v>
      </c>
      <c r="F89">
        <f t="shared" si="8"/>
        <v>57193920.000000179</v>
      </c>
      <c r="G89">
        <f t="shared" si="9"/>
        <v>13783314787.999876</v>
      </c>
      <c r="H89" s="10">
        <f t="shared" si="10"/>
        <v>0.72597139545718092</v>
      </c>
      <c r="I89" s="11">
        <f t="shared" si="11"/>
        <v>3.0124212174429859E-3</v>
      </c>
      <c r="J89" t="s">
        <v>1027</v>
      </c>
      <c r="K89" t="s">
        <v>1469</v>
      </c>
      <c r="L89" t="s">
        <v>1560</v>
      </c>
    </row>
    <row r="90" spans="1:12">
      <c r="A90">
        <v>89</v>
      </c>
      <c r="B90" t="s">
        <v>188</v>
      </c>
      <c r="C90" t="s">
        <v>189</v>
      </c>
      <c r="D90" t="s">
        <v>928</v>
      </c>
      <c r="E90">
        <v>7.7535858469472902</v>
      </c>
      <c r="F90">
        <f t="shared" si="8"/>
        <v>56700363.999999031</v>
      </c>
      <c r="G90">
        <f t="shared" si="9"/>
        <v>13840015151.999874</v>
      </c>
      <c r="H90" s="10">
        <f t="shared" si="10"/>
        <v>0.72895782092950967</v>
      </c>
      <c r="I90" s="11">
        <f t="shared" si="11"/>
        <v>2.9864254723288245E-3</v>
      </c>
      <c r="J90" t="s">
        <v>1028</v>
      </c>
      <c r="K90" t="s">
        <v>1561</v>
      </c>
      <c r="L90" t="s">
        <v>1562</v>
      </c>
    </row>
    <row r="91" spans="1:12">
      <c r="A91">
        <v>90</v>
      </c>
      <c r="B91" t="s">
        <v>568</v>
      </c>
      <c r="C91" t="s">
        <v>569</v>
      </c>
      <c r="D91" t="s">
        <v>928</v>
      </c>
      <c r="E91">
        <v>7.7503182819135699</v>
      </c>
      <c r="F91">
        <f t="shared" si="8"/>
        <v>56275359.999999009</v>
      </c>
      <c r="G91">
        <f t="shared" si="9"/>
        <v>13896290511.999872</v>
      </c>
      <c r="H91" s="10">
        <f t="shared" si="10"/>
        <v>0.73192186131148096</v>
      </c>
      <c r="I91" s="11">
        <f t="shared" si="11"/>
        <v>2.9640403819713493E-3</v>
      </c>
      <c r="J91" t="s">
        <v>1029</v>
      </c>
      <c r="K91" t="s">
        <v>1563</v>
      </c>
      <c r="L91" t="s">
        <v>1564</v>
      </c>
    </row>
    <row r="92" spans="1:12">
      <c r="A92">
        <v>91</v>
      </c>
      <c r="B92" t="s">
        <v>816</v>
      </c>
      <c r="C92" t="s">
        <v>817</v>
      </c>
      <c r="D92" t="s">
        <v>928</v>
      </c>
      <c r="E92">
        <v>7.7492223075984903</v>
      </c>
      <c r="F92">
        <f t="shared" si="8"/>
        <v>56133523.999999985</v>
      </c>
      <c r="G92">
        <f t="shared" si="9"/>
        <v>13952424035.999872</v>
      </c>
      <c r="H92" s="10">
        <f t="shared" si="10"/>
        <v>0.73487843114805529</v>
      </c>
      <c r="I92" s="11">
        <f t="shared" si="11"/>
        <v>2.9565698365743159E-3</v>
      </c>
      <c r="J92" t="s">
        <v>1030</v>
      </c>
      <c r="K92" t="s">
        <v>1565</v>
      </c>
      <c r="L92" t="s">
        <v>1566</v>
      </c>
    </row>
    <row r="93" spans="1:12">
      <c r="A93">
        <v>92</v>
      </c>
      <c r="B93" t="s">
        <v>160</v>
      </c>
      <c r="C93" t="s">
        <v>161</v>
      </c>
      <c r="D93" t="s">
        <v>928</v>
      </c>
      <c r="E93">
        <v>7.7470436747343303</v>
      </c>
      <c r="F93">
        <f t="shared" si="8"/>
        <v>55852635.999999732</v>
      </c>
      <c r="G93">
        <f t="shared" si="9"/>
        <v>14008276671.999872</v>
      </c>
      <c r="H93" s="10">
        <f t="shared" si="10"/>
        <v>0.73782020652796487</v>
      </c>
      <c r="I93" s="11">
        <f t="shared" si="11"/>
        <v>2.9417753799095884E-3</v>
      </c>
      <c r="J93" t="s">
        <v>1031</v>
      </c>
      <c r="K93" t="s">
        <v>1567</v>
      </c>
      <c r="L93" t="s">
        <v>1568</v>
      </c>
    </row>
    <row r="94" spans="1:12">
      <c r="A94">
        <v>93</v>
      </c>
      <c r="B94" t="s">
        <v>760</v>
      </c>
      <c r="C94" t="s">
        <v>761</v>
      </c>
      <c r="D94" t="s">
        <v>928</v>
      </c>
      <c r="E94">
        <v>7.7465581362613998</v>
      </c>
      <c r="F94">
        <f t="shared" si="8"/>
        <v>55790227.9999988</v>
      </c>
      <c r="G94">
        <f t="shared" si="9"/>
        <v>14064066899.99987</v>
      </c>
      <c r="H94" s="10">
        <f t="shared" si="10"/>
        <v>0.74075869485947243</v>
      </c>
      <c r="I94" s="11">
        <f t="shared" si="11"/>
        <v>2.9384883315075731E-3</v>
      </c>
      <c r="J94" t="s">
        <v>1032</v>
      </c>
      <c r="K94" t="s">
        <v>1569</v>
      </c>
      <c r="L94" t="s">
        <v>1570</v>
      </c>
    </row>
    <row r="95" spans="1:12">
      <c r="A95">
        <v>94</v>
      </c>
      <c r="B95" t="s">
        <v>222</v>
      </c>
      <c r="C95" t="s">
        <v>223</v>
      </c>
      <c r="D95" t="s">
        <v>928</v>
      </c>
      <c r="E95">
        <v>7.7403115186935203</v>
      </c>
      <c r="F95">
        <f t="shared" si="8"/>
        <v>54993519.999999128</v>
      </c>
      <c r="G95">
        <f t="shared" si="9"/>
        <v>14119060419.99987</v>
      </c>
      <c r="H95" s="10">
        <f t="shared" si="10"/>
        <v>0.74365522033752807</v>
      </c>
      <c r="I95" s="11">
        <f t="shared" si="11"/>
        <v>2.8965254780555704E-3</v>
      </c>
      <c r="J95" t="s">
        <v>1033</v>
      </c>
      <c r="K95" t="s">
        <v>1571</v>
      </c>
      <c r="L95" t="s">
        <v>1572</v>
      </c>
    </row>
    <row r="96" spans="1:12">
      <c r="A96">
        <v>95</v>
      </c>
      <c r="B96" t="s">
        <v>762</v>
      </c>
      <c r="C96" t="s">
        <v>763</v>
      </c>
      <c r="D96" t="s">
        <v>928</v>
      </c>
      <c r="E96">
        <v>7.7364605659482901</v>
      </c>
      <c r="F96">
        <f t="shared" si="8"/>
        <v>54508039.999999993</v>
      </c>
      <c r="G96">
        <f t="shared" si="9"/>
        <v>14173568459.99987</v>
      </c>
      <c r="H96" s="10">
        <f t="shared" si="10"/>
        <v>0.74652617543585365</v>
      </c>
      <c r="I96" s="11">
        <f t="shared" si="11"/>
        <v>2.8709550983256689E-3</v>
      </c>
      <c r="J96" t="s">
        <v>1034</v>
      </c>
      <c r="K96" t="s">
        <v>1573</v>
      </c>
      <c r="L96" t="s">
        <v>1574</v>
      </c>
    </row>
    <row r="97" spans="1:12">
      <c r="A97">
        <v>96</v>
      </c>
      <c r="B97" t="s">
        <v>666</v>
      </c>
      <c r="C97" t="s">
        <v>667</v>
      </c>
      <c r="D97" t="s">
        <v>928</v>
      </c>
      <c r="E97">
        <v>7.7356239986392801</v>
      </c>
      <c r="F97">
        <f t="shared" si="8"/>
        <v>54403143.999999776</v>
      </c>
      <c r="G97">
        <f t="shared" si="9"/>
        <v>14227971603.99987</v>
      </c>
      <c r="H97" s="10">
        <f t="shared" si="10"/>
        <v>0.74939160562985341</v>
      </c>
      <c r="I97" s="11">
        <f t="shared" si="11"/>
        <v>2.8654301939997273E-3</v>
      </c>
      <c r="J97" t="s">
        <v>1035</v>
      </c>
      <c r="K97" t="s">
        <v>1575</v>
      </c>
      <c r="L97" t="s">
        <v>1576</v>
      </c>
    </row>
    <row r="98" spans="1:12">
      <c r="A98">
        <v>97</v>
      </c>
      <c r="B98" t="s">
        <v>60</v>
      </c>
      <c r="C98" t="s">
        <v>61</v>
      </c>
      <c r="D98" t="s">
        <v>928</v>
      </c>
      <c r="E98">
        <v>7.7249923721674696</v>
      </c>
      <c r="F98">
        <f t="shared" si="8"/>
        <v>53087511.999998838</v>
      </c>
      <c r="G98">
        <f t="shared" si="9"/>
        <v>14281059115.999868</v>
      </c>
      <c r="H98" s="10">
        <f t="shared" si="10"/>
        <v>0.75218774108498665</v>
      </c>
      <c r="I98" s="11">
        <f t="shared" si="11"/>
        <v>2.7961354551332574E-3</v>
      </c>
      <c r="J98" t="s">
        <v>1036</v>
      </c>
      <c r="K98" t="s">
        <v>1577</v>
      </c>
      <c r="L98" t="s">
        <v>1578</v>
      </c>
    </row>
    <row r="99" spans="1:12">
      <c r="A99">
        <v>98</v>
      </c>
      <c r="B99" t="s">
        <v>748</v>
      </c>
      <c r="C99" t="s">
        <v>749</v>
      </c>
      <c r="D99" t="s">
        <v>928</v>
      </c>
      <c r="E99">
        <v>7.7051018321758802</v>
      </c>
      <c r="F99">
        <f t="shared" si="8"/>
        <v>50710960.000000097</v>
      </c>
      <c r="G99">
        <f t="shared" si="9"/>
        <v>14331770075.999868</v>
      </c>
      <c r="H99" s="10">
        <f t="shared" si="10"/>
        <v>0.75485870282114498</v>
      </c>
      <c r="I99" s="11">
        <f t="shared" si="11"/>
        <v>2.6709617361583603E-3</v>
      </c>
      <c r="J99" t="s">
        <v>1037</v>
      </c>
      <c r="K99" t="s">
        <v>1579</v>
      </c>
      <c r="L99" t="s">
        <v>1580</v>
      </c>
    </row>
    <row r="100" spans="1:12">
      <c r="A100">
        <v>99</v>
      </c>
      <c r="B100" t="s">
        <v>440</v>
      </c>
      <c r="C100" t="s">
        <v>441</v>
      </c>
      <c r="D100" t="s">
        <v>928</v>
      </c>
      <c r="E100">
        <v>7.7001018976614102</v>
      </c>
      <c r="F100">
        <f t="shared" si="8"/>
        <v>50130483.999999136</v>
      </c>
      <c r="G100">
        <f t="shared" si="9"/>
        <v>14381900559.999868</v>
      </c>
      <c r="H100" s="10">
        <f t="shared" si="10"/>
        <v>0.75749909070926813</v>
      </c>
      <c r="I100" s="11">
        <f t="shared" si="11"/>
        <v>2.6403878881231264E-3</v>
      </c>
      <c r="J100" t="s">
        <v>1038</v>
      </c>
      <c r="K100" t="s">
        <v>1581</v>
      </c>
      <c r="L100" t="s">
        <v>1582</v>
      </c>
    </row>
    <row r="101" spans="1:12">
      <c r="A101">
        <v>100</v>
      </c>
      <c r="B101" t="s">
        <v>310</v>
      </c>
      <c r="C101" t="s">
        <v>311</v>
      </c>
      <c r="D101" t="s">
        <v>928</v>
      </c>
      <c r="E101">
        <v>7.69822717752663</v>
      </c>
      <c r="F101">
        <f t="shared" si="8"/>
        <v>49914552.000000097</v>
      </c>
      <c r="G101">
        <f t="shared" si="9"/>
        <v>14431815111.999868</v>
      </c>
      <c r="H101" s="10">
        <f t="shared" si="10"/>
        <v>0.76012810539306608</v>
      </c>
      <c r="I101" s="11">
        <f t="shared" si="11"/>
        <v>2.6290146837978767E-3</v>
      </c>
      <c r="J101" t="s">
        <v>1039</v>
      </c>
      <c r="K101" t="s">
        <v>1583</v>
      </c>
      <c r="L101" t="s">
        <v>1584</v>
      </c>
    </row>
    <row r="102" spans="1:12">
      <c r="A102">
        <v>101</v>
      </c>
      <c r="B102" t="s">
        <v>656</v>
      </c>
      <c r="C102" t="s">
        <v>657</v>
      </c>
      <c r="D102" t="s">
        <v>928</v>
      </c>
      <c r="E102">
        <v>7.6854233422662599</v>
      </c>
      <c r="F102">
        <f t="shared" si="8"/>
        <v>48464455.999999277</v>
      </c>
      <c r="G102">
        <f t="shared" si="9"/>
        <v>14480279567.999868</v>
      </c>
      <c r="H102" s="10">
        <f t="shared" si="10"/>
        <v>0.76268074307808975</v>
      </c>
      <c r="I102" s="11">
        <f t="shared" si="11"/>
        <v>2.5526376850236771E-3</v>
      </c>
      <c r="J102" t="s">
        <v>1040</v>
      </c>
      <c r="K102" t="s">
        <v>1585</v>
      </c>
      <c r="L102" t="s">
        <v>1586</v>
      </c>
    </row>
    <row r="103" spans="1:12">
      <c r="A103">
        <v>102</v>
      </c>
      <c r="B103" t="s">
        <v>864</v>
      </c>
      <c r="C103" t="s">
        <v>865</v>
      </c>
      <c r="D103" t="s">
        <v>928</v>
      </c>
      <c r="E103">
        <v>7.6712960574513902</v>
      </c>
      <c r="F103">
        <f t="shared" si="8"/>
        <v>46913307.999999493</v>
      </c>
      <c r="G103">
        <f t="shared" si="9"/>
        <v>14527192875.999868</v>
      </c>
      <c r="H103" s="10">
        <f t="shared" si="10"/>
        <v>0.76515168132466627</v>
      </c>
      <c r="I103" s="11">
        <f t="shared" si="11"/>
        <v>2.4709382465764856E-3</v>
      </c>
      <c r="J103" t="s">
        <v>1041</v>
      </c>
      <c r="K103" t="s">
        <v>1587</v>
      </c>
      <c r="L103" t="s">
        <v>1588</v>
      </c>
    </row>
    <row r="104" spans="1:12">
      <c r="A104">
        <v>103</v>
      </c>
      <c r="B104" t="s">
        <v>180</v>
      </c>
      <c r="C104" t="s">
        <v>181</v>
      </c>
      <c r="D104" t="s">
        <v>928</v>
      </c>
      <c r="E104">
        <v>7.6669220981768902</v>
      </c>
      <c r="F104">
        <f t="shared" si="8"/>
        <v>46443195.999999456</v>
      </c>
      <c r="G104">
        <f t="shared" si="9"/>
        <v>14573636071.999868</v>
      </c>
      <c r="H104" s="10">
        <f t="shared" si="10"/>
        <v>0.76759785862876195</v>
      </c>
      <c r="I104" s="11">
        <f t="shared" si="11"/>
        <v>2.4461773040956301E-3</v>
      </c>
      <c r="J104" t="s">
        <v>1042</v>
      </c>
      <c r="K104" t="s">
        <v>1589</v>
      </c>
      <c r="L104" t="s">
        <v>1590</v>
      </c>
    </row>
    <row r="105" spans="1:12">
      <c r="A105">
        <v>104</v>
      </c>
      <c r="B105" t="s">
        <v>56</v>
      </c>
      <c r="C105" t="s">
        <v>57</v>
      </c>
      <c r="D105" t="s">
        <v>928</v>
      </c>
      <c r="E105">
        <v>7.6603442395344299</v>
      </c>
      <c r="F105">
        <f t="shared" si="8"/>
        <v>45745063.999999419</v>
      </c>
      <c r="G105">
        <f t="shared" si="9"/>
        <v>14619381135.999868</v>
      </c>
      <c r="H105" s="10">
        <f t="shared" si="10"/>
        <v>0.77000726510740314</v>
      </c>
      <c r="I105" s="11">
        <f t="shared" si="11"/>
        <v>2.409406478641176E-3</v>
      </c>
      <c r="J105" t="s">
        <v>1043</v>
      </c>
      <c r="K105" t="s">
        <v>1591</v>
      </c>
      <c r="L105" t="s">
        <v>1592</v>
      </c>
    </row>
    <row r="106" spans="1:12">
      <c r="A106">
        <v>105</v>
      </c>
      <c r="B106" t="s">
        <v>360</v>
      </c>
      <c r="C106" t="s">
        <v>361</v>
      </c>
      <c r="D106" t="s">
        <v>928</v>
      </c>
      <c r="E106">
        <v>7.6595770328753501</v>
      </c>
      <c r="F106">
        <f t="shared" si="8"/>
        <v>45664323.99999918</v>
      </c>
      <c r="G106">
        <f t="shared" si="9"/>
        <v>14665045459.999868</v>
      </c>
      <c r="H106" s="10">
        <f t="shared" si="10"/>
        <v>0.77241241898560886</v>
      </c>
      <c r="I106" s="11">
        <f t="shared" si="11"/>
        <v>2.4051538782057262E-3</v>
      </c>
      <c r="J106" t="s">
        <v>1044</v>
      </c>
      <c r="K106" t="s">
        <v>1593</v>
      </c>
      <c r="L106" t="s">
        <v>1594</v>
      </c>
    </row>
    <row r="107" spans="1:12">
      <c r="A107">
        <v>106</v>
      </c>
      <c r="B107" t="s">
        <v>218</v>
      </c>
      <c r="C107" t="s">
        <v>219</v>
      </c>
      <c r="D107" t="s">
        <v>928</v>
      </c>
      <c r="E107">
        <v>7.6561385808940896</v>
      </c>
      <c r="F107">
        <f t="shared" si="8"/>
        <v>45304211.999999553</v>
      </c>
      <c r="G107">
        <f t="shared" si="9"/>
        <v>14710349671.999868</v>
      </c>
      <c r="H107" s="10">
        <f t="shared" si="10"/>
        <v>0.77479860565489711</v>
      </c>
      <c r="I107" s="11">
        <f t="shared" si="11"/>
        <v>2.3861866692881577E-3</v>
      </c>
      <c r="J107" t="s">
        <v>1045</v>
      </c>
      <c r="K107" t="s">
        <v>1595</v>
      </c>
      <c r="L107" t="s">
        <v>1596</v>
      </c>
    </row>
    <row r="108" spans="1:12">
      <c r="A108">
        <v>107</v>
      </c>
      <c r="B108" t="s">
        <v>470</v>
      </c>
      <c r="C108" t="s">
        <v>471</v>
      </c>
      <c r="D108" t="s">
        <v>928</v>
      </c>
      <c r="E108">
        <v>7.6409137273771401</v>
      </c>
      <c r="F108">
        <f t="shared" si="8"/>
        <v>43743519.999999769</v>
      </c>
      <c r="G108">
        <f t="shared" si="9"/>
        <v>14754093191.999868</v>
      </c>
      <c r="H108" s="10">
        <f t="shared" si="10"/>
        <v>0.777102590200346</v>
      </c>
      <c r="I108" s="11">
        <f t="shared" si="11"/>
        <v>2.3039845454488955E-3</v>
      </c>
      <c r="J108" t="s">
        <v>1046</v>
      </c>
      <c r="K108" t="s">
        <v>1597</v>
      </c>
      <c r="L108" t="s">
        <v>1598</v>
      </c>
    </row>
    <row r="109" spans="1:12">
      <c r="A109">
        <v>108</v>
      </c>
      <c r="B109" t="s">
        <v>696</v>
      </c>
      <c r="C109" t="s">
        <v>697</v>
      </c>
      <c r="D109" t="s">
        <v>928</v>
      </c>
      <c r="E109">
        <v>7.6389069371850598</v>
      </c>
      <c r="F109">
        <f t="shared" si="8"/>
        <v>43541855.999999017</v>
      </c>
      <c r="G109">
        <f t="shared" si="9"/>
        <v>14797635047.999866</v>
      </c>
      <c r="H109" s="10">
        <f t="shared" si="10"/>
        <v>0.77939595304138298</v>
      </c>
      <c r="I109" s="11">
        <f t="shared" si="11"/>
        <v>2.2933628410370158E-3</v>
      </c>
      <c r="J109" t="s">
        <v>1047</v>
      </c>
      <c r="K109" t="s">
        <v>1599</v>
      </c>
      <c r="L109" t="s">
        <v>1600</v>
      </c>
    </row>
    <row r="110" spans="1:12">
      <c r="A110">
        <v>109</v>
      </c>
      <c r="B110" t="s">
        <v>456</v>
      </c>
      <c r="C110" t="s">
        <v>457</v>
      </c>
      <c r="D110" t="s">
        <v>928</v>
      </c>
      <c r="E110">
        <v>7.6291217275510004</v>
      </c>
      <c r="F110">
        <f t="shared" si="8"/>
        <v>42571771.999999821</v>
      </c>
      <c r="G110">
        <f t="shared" si="9"/>
        <v>14840206819.999866</v>
      </c>
      <c r="H110" s="10">
        <f t="shared" si="10"/>
        <v>0.78163822126214744</v>
      </c>
      <c r="I110" s="11">
        <f t="shared" si="11"/>
        <v>2.2422682207644496E-3</v>
      </c>
      <c r="J110" t="s">
        <v>1048</v>
      </c>
      <c r="K110" t="s">
        <v>1601</v>
      </c>
      <c r="L110" t="s">
        <v>1602</v>
      </c>
    </row>
    <row r="111" spans="1:12">
      <c r="A111">
        <v>110</v>
      </c>
      <c r="B111" t="s">
        <v>742</v>
      </c>
      <c r="C111" t="s">
        <v>743</v>
      </c>
      <c r="D111" t="s">
        <v>928</v>
      </c>
      <c r="E111">
        <v>7.62101491867418</v>
      </c>
      <c r="F111">
        <f t="shared" si="8"/>
        <v>41784471.999999978</v>
      </c>
      <c r="G111">
        <f t="shared" si="9"/>
        <v>14881991291.999866</v>
      </c>
      <c r="H111" s="10">
        <f t="shared" si="10"/>
        <v>0.78383902215169043</v>
      </c>
      <c r="I111" s="11">
        <f t="shared" si="11"/>
        <v>2.2008008895430123E-3</v>
      </c>
      <c r="J111" t="s">
        <v>1049</v>
      </c>
      <c r="K111" t="s">
        <v>1603</v>
      </c>
      <c r="L111" t="s">
        <v>1604</v>
      </c>
    </row>
    <row r="112" spans="1:12">
      <c r="A112">
        <v>111</v>
      </c>
      <c r="B112" t="s">
        <v>154</v>
      </c>
      <c r="C112" t="s">
        <v>155</v>
      </c>
      <c r="D112" t="s">
        <v>928</v>
      </c>
      <c r="E112">
        <v>7.6155449699475204</v>
      </c>
      <c r="F112">
        <f t="shared" si="8"/>
        <v>41261495.999999717</v>
      </c>
      <c r="G112">
        <f t="shared" si="9"/>
        <v>14923252787.999866</v>
      </c>
      <c r="H112" s="10">
        <f t="shared" si="10"/>
        <v>0.78601227773574267</v>
      </c>
      <c r="I112" s="11">
        <f t="shared" si="11"/>
        <v>2.1732555840522499E-3</v>
      </c>
      <c r="J112" t="s">
        <v>1050</v>
      </c>
      <c r="K112" t="s">
        <v>1605</v>
      </c>
      <c r="L112" t="s">
        <v>1606</v>
      </c>
    </row>
    <row r="113" spans="1:12">
      <c r="A113">
        <v>112</v>
      </c>
      <c r="B113" t="s">
        <v>72</v>
      </c>
      <c r="C113" t="s">
        <v>73</v>
      </c>
      <c r="D113" t="s">
        <v>928</v>
      </c>
      <c r="E113">
        <v>7.5973708793918702</v>
      </c>
      <c r="F113">
        <f t="shared" si="8"/>
        <v>39570440</v>
      </c>
      <c r="G113">
        <f t="shared" si="9"/>
        <v>14962823227.999866</v>
      </c>
      <c r="H113" s="10">
        <f t="shared" si="10"/>
        <v>0.78809646488429896</v>
      </c>
      <c r="I113" s="11">
        <f t="shared" si="11"/>
        <v>2.0841871485562497E-3</v>
      </c>
      <c r="J113" t="s">
        <v>1051</v>
      </c>
      <c r="K113" t="s">
        <v>1607</v>
      </c>
      <c r="L113" t="s">
        <v>1608</v>
      </c>
    </row>
    <row r="114" spans="1:12">
      <c r="A114">
        <v>113</v>
      </c>
      <c r="B114" t="s">
        <v>650</v>
      </c>
      <c r="C114" t="s">
        <v>651</v>
      </c>
      <c r="D114" t="s">
        <v>928</v>
      </c>
      <c r="E114">
        <v>7.5963708957443004</v>
      </c>
      <c r="F114">
        <f t="shared" si="8"/>
        <v>39479432.000000007</v>
      </c>
      <c r="G114">
        <f t="shared" si="9"/>
        <v>15002302659.999866</v>
      </c>
      <c r="H114" s="10">
        <f t="shared" si="10"/>
        <v>0.79017585861372674</v>
      </c>
      <c r="I114" s="11">
        <f t="shared" si="11"/>
        <v>2.0793937294278347E-3</v>
      </c>
      <c r="J114" s="12" t="s">
        <v>1052</v>
      </c>
      <c r="K114" t="s">
        <v>1531</v>
      </c>
      <c r="L114" t="s">
        <v>1609</v>
      </c>
    </row>
    <row r="115" spans="1:12">
      <c r="A115">
        <v>114</v>
      </c>
      <c r="B115" t="s">
        <v>346</v>
      </c>
      <c r="C115" t="s">
        <v>347</v>
      </c>
      <c r="D115" t="s">
        <v>928</v>
      </c>
      <c r="E115">
        <v>7.5929211507037202</v>
      </c>
      <c r="F115">
        <f t="shared" si="8"/>
        <v>39167075.999999553</v>
      </c>
      <c r="G115">
        <f t="shared" si="9"/>
        <v>15041469735.999866</v>
      </c>
      <c r="H115" s="10">
        <f t="shared" si="10"/>
        <v>0.79223880045732842</v>
      </c>
      <c r="I115" s="11">
        <f t="shared" si="11"/>
        <v>2.0629418436015619E-3</v>
      </c>
      <c r="J115" t="s">
        <v>1053</v>
      </c>
      <c r="K115" t="s">
        <v>1610</v>
      </c>
      <c r="L115" t="s">
        <v>1611</v>
      </c>
    </row>
    <row r="116" spans="1:12">
      <c r="A116">
        <v>115</v>
      </c>
      <c r="B116" t="s">
        <v>186</v>
      </c>
      <c r="C116" t="s">
        <v>187</v>
      </c>
      <c r="D116" t="s">
        <v>928</v>
      </c>
      <c r="E116">
        <v>7.5901890336473103</v>
      </c>
      <c r="F116">
        <f t="shared" si="8"/>
        <v>38921451.9999993</v>
      </c>
      <c r="G116">
        <f t="shared" si="9"/>
        <v>15080391187.999866</v>
      </c>
      <c r="H116" s="10">
        <f t="shared" si="10"/>
        <v>0.79428880520990497</v>
      </c>
      <c r="I116" s="11">
        <f t="shared" si="11"/>
        <v>2.0500047525766072E-3</v>
      </c>
      <c r="J116" t="s">
        <v>1054</v>
      </c>
      <c r="K116" t="s">
        <v>1612</v>
      </c>
      <c r="L116" t="s">
        <v>1613</v>
      </c>
    </row>
    <row r="117" spans="1:12">
      <c r="A117">
        <v>116</v>
      </c>
      <c r="B117" t="s">
        <v>268</v>
      </c>
      <c r="C117" t="s">
        <v>269</v>
      </c>
      <c r="D117" t="s">
        <v>928</v>
      </c>
      <c r="E117">
        <v>7.5891656457591399</v>
      </c>
      <c r="F117">
        <f t="shared" si="8"/>
        <v>38829843.999999233</v>
      </c>
      <c r="G117">
        <f t="shared" si="9"/>
        <v>15119221031.999866</v>
      </c>
      <c r="H117" s="10">
        <f t="shared" si="10"/>
        <v>0.79633398494117014</v>
      </c>
      <c r="I117" s="11">
        <f t="shared" si="11"/>
        <v>2.045179731265116E-3</v>
      </c>
      <c r="J117" t="s">
        <v>1055</v>
      </c>
      <c r="K117" t="s">
        <v>1614</v>
      </c>
      <c r="L117" t="s">
        <v>1615</v>
      </c>
    </row>
    <row r="118" spans="1:12">
      <c r="A118">
        <v>117</v>
      </c>
      <c r="B118" t="s">
        <v>246</v>
      </c>
      <c r="C118" t="s">
        <v>247</v>
      </c>
      <c r="D118" t="s">
        <v>928</v>
      </c>
      <c r="E118">
        <v>7.5818022984895999</v>
      </c>
      <c r="F118">
        <f t="shared" si="8"/>
        <v>38177043.99999924</v>
      </c>
      <c r="G118">
        <f t="shared" si="9"/>
        <v>15157398075.999866</v>
      </c>
      <c r="H118" s="10">
        <f t="shared" si="10"/>
        <v>0.79834478149725263</v>
      </c>
      <c r="I118" s="11">
        <f t="shared" si="11"/>
        <v>2.0107965560823911E-3</v>
      </c>
      <c r="J118" t="s">
        <v>1056</v>
      </c>
      <c r="K118" t="s">
        <v>1616</v>
      </c>
      <c r="L118" t="s">
        <v>1617</v>
      </c>
    </row>
    <row r="119" spans="1:12">
      <c r="A119">
        <v>118</v>
      </c>
      <c r="B119" t="s">
        <v>44</v>
      </c>
      <c r="C119" t="s">
        <v>45</v>
      </c>
      <c r="D119" t="s">
        <v>928</v>
      </c>
      <c r="E119">
        <v>7.57786067855164</v>
      </c>
      <c r="F119">
        <f t="shared" si="8"/>
        <v>37832119.999999307</v>
      </c>
      <c r="G119">
        <f t="shared" si="9"/>
        <v>15195230195.999866</v>
      </c>
      <c r="H119" s="10">
        <f t="shared" si="10"/>
        <v>0.80033741080101162</v>
      </c>
      <c r="I119" s="11">
        <f t="shared" si="11"/>
        <v>1.9926293037589781E-3</v>
      </c>
      <c r="J119" t="s">
        <v>1057</v>
      </c>
      <c r="K119" t="s">
        <v>1618</v>
      </c>
      <c r="L119" t="s">
        <v>1619</v>
      </c>
    </row>
    <row r="120" spans="1:12">
      <c r="A120">
        <v>119</v>
      </c>
      <c r="B120" t="s">
        <v>386</v>
      </c>
      <c r="C120" t="s">
        <v>387</v>
      </c>
      <c r="D120" t="s">
        <v>928</v>
      </c>
      <c r="E120">
        <v>7.5740823609155798</v>
      </c>
      <c r="F120">
        <f t="shared" si="8"/>
        <v>37504412.000000007</v>
      </c>
      <c r="G120">
        <f t="shared" si="9"/>
        <v>15232734607.999866</v>
      </c>
      <c r="H120" s="10">
        <f t="shared" si="10"/>
        <v>0.80231277962442016</v>
      </c>
      <c r="I120" s="11">
        <f t="shared" si="11"/>
        <v>1.9753688234085544E-3</v>
      </c>
      <c r="J120" t="s">
        <v>1058</v>
      </c>
      <c r="K120" t="s">
        <v>1510</v>
      </c>
      <c r="L120" t="s">
        <v>1620</v>
      </c>
    </row>
    <row r="121" spans="1:12">
      <c r="A121">
        <v>120</v>
      </c>
      <c r="B121" t="s">
        <v>670</v>
      </c>
      <c r="C121" t="s">
        <v>671</v>
      </c>
      <c r="D121" t="s">
        <v>928</v>
      </c>
      <c r="E121">
        <v>7.5718244575090203</v>
      </c>
      <c r="F121">
        <f t="shared" si="8"/>
        <v>37309931.999999821</v>
      </c>
      <c r="G121">
        <f t="shared" si="9"/>
        <v>15270044539.999866</v>
      </c>
      <c r="H121" s="10">
        <f t="shared" si="10"/>
        <v>0.8042779051268889</v>
      </c>
      <c r="I121" s="11">
        <f t="shared" si="11"/>
        <v>1.9651255024686911E-3</v>
      </c>
      <c r="J121" t="s">
        <v>1059</v>
      </c>
      <c r="K121" t="s">
        <v>1621</v>
      </c>
      <c r="L121" t="s">
        <v>1622</v>
      </c>
    </row>
    <row r="122" spans="1:12">
      <c r="A122">
        <v>121</v>
      </c>
      <c r="B122" t="s">
        <v>780</v>
      </c>
      <c r="C122" t="s">
        <v>781</v>
      </c>
      <c r="D122" t="s">
        <v>928</v>
      </c>
      <c r="E122">
        <v>7.5592883144568299</v>
      </c>
      <c r="F122">
        <f t="shared" si="8"/>
        <v>36248355.999999471</v>
      </c>
      <c r="G122">
        <f t="shared" si="9"/>
        <v>15306292895.999866</v>
      </c>
      <c r="H122" s="10">
        <f t="shared" si="10"/>
        <v>0.80618711709752888</v>
      </c>
      <c r="I122" s="11">
        <f t="shared" si="11"/>
        <v>1.9092119706399706E-3</v>
      </c>
      <c r="J122" t="s">
        <v>1060</v>
      </c>
      <c r="K122" t="s">
        <v>1623</v>
      </c>
      <c r="L122" t="s">
        <v>1624</v>
      </c>
    </row>
    <row r="123" spans="1:12">
      <c r="A123">
        <v>122</v>
      </c>
      <c r="B123" t="s">
        <v>628</v>
      </c>
      <c r="C123" t="s">
        <v>629</v>
      </c>
      <c r="D123" t="s">
        <v>928</v>
      </c>
      <c r="E123">
        <v>7.5545907136785697</v>
      </c>
      <c r="F123">
        <f t="shared" si="8"/>
        <v>35858383.999999925</v>
      </c>
      <c r="G123">
        <f t="shared" si="9"/>
        <v>15342151279.999866</v>
      </c>
      <c r="H123" s="10">
        <f t="shared" si="10"/>
        <v>0.8080757891239404</v>
      </c>
      <c r="I123" s="11">
        <f t="shared" si="11"/>
        <v>1.8886720264115052E-3</v>
      </c>
      <c r="J123" t="s">
        <v>1061</v>
      </c>
      <c r="K123" t="s">
        <v>1423</v>
      </c>
      <c r="L123" t="s">
        <v>1625</v>
      </c>
    </row>
    <row r="124" spans="1:12">
      <c r="A124">
        <v>123</v>
      </c>
      <c r="B124" t="s">
        <v>422</v>
      </c>
      <c r="C124" t="s">
        <v>423</v>
      </c>
      <c r="D124" t="s">
        <v>928</v>
      </c>
      <c r="E124">
        <v>7.5533376083311996</v>
      </c>
      <c r="F124">
        <f t="shared" si="8"/>
        <v>35755067.999999344</v>
      </c>
      <c r="G124">
        <f t="shared" si="9"/>
        <v>15377906347.999866</v>
      </c>
      <c r="H124" s="10">
        <f t="shared" si="10"/>
        <v>0.80995901946510807</v>
      </c>
      <c r="I124" s="11">
        <f t="shared" si="11"/>
        <v>1.8832303411676352E-3</v>
      </c>
      <c r="J124" t="s">
        <v>1062</v>
      </c>
      <c r="K124" t="s">
        <v>1626</v>
      </c>
      <c r="L124" t="s">
        <v>1627</v>
      </c>
    </row>
    <row r="125" spans="1:12">
      <c r="A125">
        <v>124</v>
      </c>
      <c r="B125" t="s">
        <v>891</v>
      </c>
      <c r="C125" t="s">
        <v>892</v>
      </c>
      <c r="D125" t="s">
        <v>928</v>
      </c>
      <c r="E125">
        <v>7.5461025199482696</v>
      </c>
      <c r="F125">
        <f t="shared" si="8"/>
        <v>35164343.999999851</v>
      </c>
      <c r="G125">
        <f t="shared" si="9"/>
        <v>15413070691.999866</v>
      </c>
      <c r="H125" s="10">
        <f t="shared" si="10"/>
        <v>0.81181113619295364</v>
      </c>
      <c r="I125" s="11">
        <f t="shared" si="11"/>
        <v>1.8521167278456028E-3</v>
      </c>
      <c r="J125" t="s">
        <v>1063</v>
      </c>
      <c r="K125" t="s">
        <v>1628</v>
      </c>
      <c r="L125" t="s">
        <v>1629</v>
      </c>
    </row>
    <row r="126" spans="1:12">
      <c r="A126">
        <v>125</v>
      </c>
      <c r="B126" t="s">
        <v>588</v>
      </c>
      <c r="C126" t="s">
        <v>589</v>
      </c>
      <c r="D126" t="s">
        <v>928</v>
      </c>
      <c r="E126">
        <v>7.5443571138000598</v>
      </c>
      <c r="F126">
        <f t="shared" si="8"/>
        <v>35023303.999999464</v>
      </c>
      <c r="G126">
        <f t="shared" si="9"/>
        <v>15448093995.999866</v>
      </c>
      <c r="H126" s="10">
        <f t="shared" si="10"/>
        <v>0.81365582430096506</v>
      </c>
      <c r="I126" s="11">
        <f t="shared" si="11"/>
        <v>1.8446881080113734E-3</v>
      </c>
      <c r="J126" t="s">
        <v>1064</v>
      </c>
      <c r="K126" t="s">
        <v>1630</v>
      </c>
      <c r="L126" t="s">
        <v>1631</v>
      </c>
    </row>
    <row r="127" spans="1:12">
      <c r="A127">
        <v>126</v>
      </c>
      <c r="B127" t="s">
        <v>50</v>
      </c>
      <c r="C127" t="s">
        <v>51</v>
      </c>
      <c r="D127" t="s">
        <v>928</v>
      </c>
      <c r="E127">
        <v>7.5358814257440301</v>
      </c>
      <c r="F127">
        <f t="shared" si="8"/>
        <v>34346415.99999965</v>
      </c>
      <c r="G127">
        <f t="shared" si="9"/>
        <v>15482440411.999866</v>
      </c>
      <c r="H127" s="10">
        <f t="shared" si="10"/>
        <v>0.81546486051148404</v>
      </c>
      <c r="I127" s="11">
        <f t="shared" si="11"/>
        <v>1.809036210518913E-3</v>
      </c>
      <c r="J127" t="s">
        <v>1065</v>
      </c>
      <c r="K127" t="s">
        <v>1632</v>
      </c>
      <c r="L127" t="s">
        <v>1633</v>
      </c>
    </row>
    <row r="128" spans="1:12">
      <c r="A128">
        <v>127</v>
      </c>
      <c r="B128" t="s">
        <v>848</v>
      </c>
      <c r="C128" t="s">
        <v>849</v>
      </c>
      <c r="D128" t="s">
        <v>928</v>
      </c>
      <c r="E128">
        <v>7.5342378682200302</v>
      </c>
      <c r="F128">
        <f t="shared" si="8"/>
        <v>34216680.000000067</v>
      </c>
      <c r="G128">
        <f t="shared" si="9"/>
        <v>15516657091.999866</v>
      </c>
      <c r="H128" s="10">
        <f t="shared" si="10"/>
        <v>0.81726706348729783</v>
      </c>
      <c r="I128" s="11">
        <f t="shared" si="11"/>
        <v>1.8022029758138092E-3</v>
      </c>
      <c r="J128" t="s">
        <v>1066</v>
      </c>
      <c r="K128" t="s">
        <v>1634</v>
      </c>
      <c r="L128" t="s">
        <v>1635</v>
      </c>
    </row>
    <row r="129" spans="1:12">
      <c r="A129">
        <v>128</v>
      </c>
      <c r="B129" t="s">
        <v>798</v>
      </c>
      <c r="C129" t="s">
        <v>799</v>
      </c>
      <c r="D129" t="s">
        <v>928</v>
      </c>
      <c r="E129">
        <v>7.5333670023950496</v>
      </c>
      <c r="F129">
        <f t="shared" si="8"/>
        <v>34148135.999999329</v>
      </c>
      <c r="G129">
        <f t="shared" si="9"/>
        <v>15550805227.999866</v>
      </c>
      <c r="H129" s="10">
        <f t="shared" si="10"/>
        <v>0.81906565622971739</v>
      </c>
      <c r="I129" s="11">
        <f t="shared" si="11"/>
        <v>1.7985927424195843E-3</v>
      </c>
      <c r="J129" t="s">
        <v>1067</v>
      </c>
      <c r="K129" t="s">
        <v>1636</v>
      </c>
      <c r="L129" t="s">
        <v>1637</v>
      </c>
    </row>
    <row r="130" spans="1:12">
      <c r="A130">
        <v>129</v>
      </c>
      <c r="B130" t="s">
        <v>730</v>
      </c>
      <c r="C130" t="s">
        <v>731</v>
      </c>
      <c r="D130" t="s">
        <v>928</v>
      </c>
      <c r="E130">
        <v>7.5315556526522602</v>
      </c>
      <c r="F130">
        <f t="shared" si="8"/>
        <v>34006007.999999791</v>
      </c>
      <c r="G130">
        <f t="shared" si="9"/>
        <v>15584811235.999866</v>
      </c>
      <c r="H130" s="10">
        <f t="shared" si="10"/>
        <v>0.82085676304701083</v>
      </c>
      <c r="I130" s="11">
        <f t="shared" si="11"/>
        <v>1.7911068172934285E-3</v>
      </c>
      <c r="J130" t="s">
        <v>1068</v>
      </c>
      <c r="K130" t="s">
        <v>1638</v>
      </c>
      <c r="L130" t="s">
        <v>1639</v>
      </c>
    </row>
    <row r="131" spans="1:12">
      <c r="A131">
        <v>130</v>
      </c>
      <c r="B131" t="s">
        <v>598</v>
      </c>
      <c r="C131" t="s">
        <v>599</v>
      </c>
      <c r="D131" t="s">
        <v>928</v>
      </c>
      <c r="E131">
        <v>7.5309595480655203</v>
      </c>
      <c r="F131">
        <f t="shared" si="8"/>
        <v>33959363.999999575</v>
      </c>
      <c r="G131">
        <f t="shared" si="9"/>
        <v>15618770599.999866</v>
      </c>
      <c r="H131" s="10">
        <f t="shared" si="10"/>
        <v>0.82264541311059225</v>
      </c>
      <c r="I131" s="11">
        <f t="shared" si="11"/>
        <v>1.7886500635813721E-3</v>
      </c>
      <c r="J131" t="s">
        <v>1069</v>
      </c>
      <c r="K131" t="s">
        <v>1640</v>
      </c>
      <c r="L131" t="s">
        <v>1641</v>
      </c>
    </row>
    <row r="132" spans="1:12">
      <c r="A132">
        <v>131</v>
      </c>
      <c r="B132" t="s">
        <v>348</v>
      </c>
      <c r="C132" t="s">
        <v>349</v>
      </c>
      <c r="D132" t="s">
        <v>928</v>
      </c>
      <c r="E132">
        <v>7.5308430022337003</v>
      </c>
      <c r="F132">
        <f t="shared" si="8"/>
        <v>33950252.000000052</v>
      </c>
      <c r="G132">
        <f t="shared" si="9"/>
        <v>15652720851.999866</v>
      </c>
      <c r="H132" s="10">
        <f t="shared" si="10"/>
        <v>0.82443358324235338</v>
      </c>
      <c r="I132" s="11">
        <f t="shared" si="11"/>
        <v>1.7881701317611382E-3</v>
      </c>
      <c r="J132" t="s">
        <v>1070</v>
      </c>
      <c r="K132" t="s">
        <v>1642</v>
      </c>
      <c r="L132" t="s">
        <v>1643</v>
      </c>
    </row>
    <row r="133" spans="1:12">
      <c r="A133">
        <v>132</v>
      </c>
      <c r="B133" t="s">
        <v>426</v>
      </c>
      <c r="C133" t="s">
        <v>427</v>
      </c>
      <c r="D133" t="s">
        <v>928</v>
      </c>
      <c r="E133">
        <v>7.5306427855558198</v>
      </c>
      <c r="F133">
        <f t="shared" si="8"/>
        <v>33934603.999999583</v>
      </c>
      <c r="G133">
        <f t="shared" si="9"/>
        <v>15686655455.999866</v>
      </c>
      <c r="H133" s="10">
        <f t="shared" si="10"/>
        <v>0.82622092918918</v>
      </c>
      <c r="I133" s="11">
        <f t="shared" si="11"/>
        <v>1.7873459468265864E-3</v>
      </c>
      <c r="J133" t="s">
        <v>1071</v>
      </c>
      <c r="K133" t="s">
        <v>1510</v>
      </c>
      <c r="L133" t="s">
        <v>1644</v>
      </c>
    </row>
    <row r="134" spans="1:12">
      <c r="A134">
        <v>133</v>
      </c>
      <c r="B134" t="s">
        <v>652</v>
      </c>
      <c r="C134" t="s">
        <v>653</v>
      </c>
      <c r="D134" t="s">
        <v>928</v>
      </c>
      <c r="E134">
        <v>7.5174962360944697</v>
      </c>
      <c r="F134">
        <f t="shared" si="8"/>
        <v>32922759.999999903</v>
      </c>
      <c r="G134">
        <f t="shared" si="9"/>
        <v>15719578215.999866</v>
      </c>
      <c r="H134" s="10">
        <f t="shared" si="10"/>
        <v>0.82795498100379217</v>
      </c>
      <c r="I134" s="11">
        <f t="shared" si="11"/>
        <v>1.7340518146121587E-3</v>
      </c>
      <c r="J134" t="s">
        <v>1072</v>
      </c>
      <c r="K134" t="s">
        <v>1645</v>
      </c>
      <c r="L134" t="s">
        <v>1646</v>
      </c>
    </row>
    <row r="135" spans="1:12">
      <c r="A135">
        <v>134</v>
      </c>
      <c r="B135" t="s">
        <v>190</v>
      </c>
      <c r="C135" t="s">
        <v>191</v>
      </c>
      <c r="D135" t="s">
        <v>928</v>
      </c>
      <c r="E135">
        <v>7.5160557855757597</v>
      </c>
      <c r="F135">
        <f t="shared" si="8"/>
        <v>32813743.999999456</v>
      </c>
      <c r="G135">
        <f t="shared" si="9"/>
        <v>15752391959.999866</v>
      </c>
      <c r="H135" s="10">
        <f t="shared" si="10"/>
        <v>0.82968329091242132</v>
      </c>
      <c r="I135" s="11">
        <f t="shared" si="11"/>
        <v>1.7283099086291083E-3</v>
      </c>
      <c r="J135" t="s">
        <v>1073</v>
      </c>
      <c r="K135" t="s">
        <v>1647</v>
      </c>
      <c r="L135" t="s">
        <v>1648</v>
      </c>
    </row>
    <row r="136" spans="1:12">
      <c r="A136">
        <v>135</v>
      </c>
      <c r="B136" t="s">
        <v>510</v>
      </c>
      <c r="C136" t="s">
        <v>511</v>
      </c>
      <c r="D136" t="s">
        <v>928</v>
      </c>
      <c r="E136">
        <v>7.5048251403106701</v>
      </c>
      <c r="F136">
        <f t="shared" si="8"/>
        <v>31976074.000000104</v>
      </c>
      <c r="G136">
        <f t="shared" si="9"/>
        <v>15784368033.999866</v>
      </c>
      <c r="H136" s="10">
        <f t="shared" si="10"/>
        <v>0.83136748048656006</v>
      </c>
      <c r="I136" s="11">
        <f t="shared" si="11"/>
        <v>1.6841895741387723E-3</v>
      </c>
      <c r="J136" t="s">
        <v>1074</v>
      </c>
      <c r="K136" t="s">
        <v>1419</v>
      </c>
      <c r="L136" t="s">
        <v>1649</v>
      </c>
    </row>
    <row r="137" spans="1:12">
      <c r="A137">
        <v>136</v>
      </c>
      <c r="B137" t="s">
        <v>520</v>
      </c>
      <c r="C137" t="s">
        <v>521</v>
      </c>
      <c r="D137" t="s">
        <v>928</v>
      </c>
      <c r="E137">
        <v>7.5043175614321198</v>
      </c>
      <c r="F137">
        <f t="shared" ref="F137:F200" si="12">POWER(10,E137)</f>
        <v>31938723.999999415</v>
      </c>
      <c r="G137">
        <f t="shared" ref="G137:G200" si="13">SUM(F137,G136)</f>
        <v>15816306757.999866</v>
      </c>
      <c r="H137" s="10">
        <f t="shared" ref="H137:H200" si="14">G137/$F$1</f>
        <v>0.83304970282480262</v>
      </c>
      <c r="I137" s="11">
        <f t="shared" ref="I137:I200" si="15">F137/F$1</f>
        <v>1.6822223382424819E-3</v>
      </c>
      <c r="J137" t="s">
        <v>1075</v>
      </c>
      <c r="K137" t="s">
        <v>1650</v>
      </c>
      <c r="L137" t="s">
        <v>1651</v>
      </c>
    </row>
    <row r="138" spans="1:12">
      <c r="A138">
        <v>137</v>
      </c>
      <c r="B138" t="s">
        <v>252</v>
      </c>
      <c r="C138" t="s">
        <v>253</v>
      </c>
      <c r="D138" t="s">
        <v>928</v>
      </c>
      <c r="E138">
        <v>7.49726304163769</v>
      </c>
      <c r="F138">
        <f t="shared" si="12"/>
        <v>31424113.99999959</v>
      </c>
      <c r="G138">
        <f t="shared" si="13"/>
        <v>15847730871.999866</v>
      </c>
      <c r="H138" s="10">
        <f t="shared" si="14"/>
        <v>0.83470482049732697</v>
      </c>
      <c r="I138" s="11">
        <f t="shared" si="15"/>
        <v>1.655117672524381E-3</v>
      </c>
      <c r="J138" t="s">
        <v>1076</v>
      </c>
      <c r="K138" t="s">
        <v>1652</v>
      </c>
      <c r="L138" t="s">
        <v>1653</v>
      </c>
    </row>
    <row r="139" spans="1:12">
      <c r="A139">
        <v>138</v>
      </c>
      <c r="B139" t="s">
        <v>80</v>
      </c>
      <c r="C139" t="s">
        <v>81</v>
      </c>
      <c r="D139" t="s">
        <v>928</v>
      </c>
      <c r="E139">
        <v>7.4911446604864604</v>
      </c>
      <c r="F139">
        <f t="shared" si="12"/>
        <v>30984511.999999549</v>
      </c>
      <c r="G139">
        <f t="shared" si="13"/>
        <v>15878715383.999866</v>
      </c>
      <c r="H139" s="10">
        <f t="shared" si="14"/>
        <v>0.83633678419837976</v>
      </c>
      <c r="I139" s="11">
        <f t="shared" si="15"/>
        <v>1.6319637010527544E-3</v>
      </c>
      <c r="J139" t="s">
        <v>1077</v>
      </c>
      <c r="K139" t="s">
        <v>1654</v>
      </c>
      <c r="L139" t="s">
        <v>1655</v>
      </c>
    </row>
    <row r="140" spans="1:12">
      <c r="A140">
        <v>139</v>
      </c>
      <c r="B140" t="s">
        <v>850</v>
      </c>
      <c r="C140" t="s">
        <v>851</v>
      </c>
      <c r="D140" t="s">
        <v>928</v>
      </c>
      <c r="E140">
        <v>7.4908796677654603</v>
      </c>
      <c r="F140">
        <f t="shared" si="12"/>
        <v>30965611.999999743</v>
      </c>
      <c r="G140">
        <f t="shared" si="13"/>
        <v>15909680995.999866</v>
      </c>
      <c r="H140" s="10">
        <f t="shared" si="14"/>
        <v>0.83796775243066579</v>
      </c>
      <c r="I140" s="11">
        <f t="shared" si="15"/>
        <v>1.6309682322859854E-3</v>
      </c>
      <c r="J140" t="s">
        <v>1078</v>
      </c>
      <c r="K140" t="s">
        <v>1656</v>
      </c>
      <c r="L140" t="s">
        <v>1657</v>
      </c>
    </row>
    <row r="141" spans="1:12">
      <c r="A141">
        <v>140</v>
      </c>
      <c r="B141" t="s">
        <v>392</v>
      </c>
      <c r="C141" t="s">
        <v>393</v>
      </c>
      <c r="D141" t="s">
        <v>928</v>
      </c>
      <c r="E141">
        <v>7.4876804383208304</v>
      </c>
      <c r="F141">
        <f t="shared" si="12"/>
        <v>30738341.999999449</v>
      </c>
      <c r="G141">
        <f t="shared" si="13"/>
        <v>15940419337.999866</v>
      </c>
      <c r="H141" s="10">
        <f t="shared" si="14"/>
        <v>0.83958675028270702</v>
      </c>
      <c r="I141" s="11">
        <f t="shared" si="15"/>
        <v>1.6189978520412119E-3</v>
      </c>
      <c r="J141" t="s">
        <v>1079</v>
      </c>
      <c r="K141" t="s">
        <v>1658</v>
      </c>
      <c r="L141" t="s">
        <v>1659</v>
      </c>
    </row>
    <row r="142" spans="1:12">
      <c r="A142">
        <v>141</v>
      </c>
      <c r="B142" t="s">
        <v>736</v>
      </c>
      <c r="C142" t="s">
        <v>737</v>
      </c>
      <c r="D142" t="s">
        <v>928</v>
      </c>
      <c r="E142">
        <v>7.4836737764283701</v>
      </c>
      <c r="F142">
        <f t="shared" si="12"/>
        <v>30456063.999999542</v>
      </c>
      <c r="G142">
        <f t="shared" si="13"/>
        <v>15970875401.999866</v>
      </c>
      <c r="H142" s="10">
        <f t="shared" si="14"/>
        <v>0.84119088046635937</v>
      </c>
      <c r="I142" s="11">
        <f t="shared" si="15"/>
        <v>1.6041301836523852E-3</v>
      </c>
      <c r="J142" t="s">
        <v>1080</v>
      </c>
      <c r="K142" t="s">
        <v>1660</v>
      </c>
      <c r="L142" t="s">
        <v>1661</v>
      </c>
    </row>
    <row r="143" spans="1:12">
      <c r="A143">
        <v>142</v>
      </c>
      <c r="B143" t="s">
        <v>750</v>
      </c>
      <c r="C143" t="s">
        <v>751</v>
      </c>
      <c r="D143" t="s">
        <v>928</v>
      </c>
      <c r="E143">
        <v>7.4702361501181302</v>
      </c>
      <c r="F143">
        <f t="shared" si="12"/>
        <v>29528143.999999501</v>
      </c>
      <c r="G143">
        <f t="shared" si="13"/>
        <v>16000403545.999866</v>
      </c>
      <c r="H143" s="10">
        <f t="shared" si="14"/>
        <v>0.84274613682048427</v>
      </c>
      <c r="I143" s="11">
        <f t="shared" si="15"/>
        <v>1.5552563541248792E-3</v>
      </c>
      <c r="J143" t="s">
        <v>1081</v>
      </c>
      <c r="K143" t="s">
        <v>1662</v>
      </c>
      <c r="L143" t="s">
        <v>1663</v>
      </c>
    </row>
    <row r="144" spans="1:12">
      <c r="A144">
        <v>143</v>
      </c>
      <c r="B144" t="s">
        <v>182</v>
      </c>
      <c r="C144" t="s">
        <v>183</v>
      </c>
      <c r="D144" t="s">
        <v>928</v>
      </c>
      <c r="E144">
        <v>7.4681022837520903</v>
      </c>
      <c r="F144">
        <f t="shared" si="12"/>
        <v>29383415.999999795</v>
      </c>
      <c r="G144">
        <f t="shared" si="13"/>
        <v>16029786961.999866</v>
      </c>
      <c r="H144" s="10">
        <f t="shared" si="14"/>
        <v>0.84429377030668973</v>
      </c>
      <c r="I144" s="11">
        <f t="shared" si="15"/>
        <v>1.5476334862054011E-3</v>
      </c>
      <c r="J144" t="s">
        <v>1082</v>
      </c>
      <c r="K144" t="s">
        <v>1664</v>
      </c>
      <c r="L144" t="s">
        <v>1665</v>
      </c>
    </row>
    <row r="145" spans="1:12">
      <c r="A145">
        <v>144</v>
      </c>
      <c r="B145" t="s">
        <v>486</v>
      </c>
      <c r="C145" t="s">
        <v>487</v>
      </c>
      <c r="D145" t="s">
        <v>928</v>
      </c>
      <c r="E145">
        <v>7.4668762172246304</v>
      </c>
      <c r="F145">
        <f t="shared" si="12"/>
        <v>29300579.999999639</v>
      </c>
      <c r="G145">
        <f t="shared" si="13"/>
        <v>16059087541.999866</v>
      </c>
      <c r="H145" s="10">
        <f t="shared" si="14"/>
        <v>0.84583704079550015</v>
      </c>
      <c r="I145" s="11">
        <f t="shared" si="15"/>
        <v>1.5432704888104231E-3</v>
      </c>
      <c r="J145" t="s">
        <v>1083</v>
      </c>
      <c r="K145" t="s">
        <v>1666</v>
      </c>
      <c r="L145" t="s">
        <v>1667</v>
      </c>
    </row>
    <row r="146" spans="1:12">
      <c r="A146">
        <v>145</v>
      </c>
      <c r="B146" t="s">
        <v>26</v>
      </c>
      <c r="C146" t="s">
        <v>27</v>
      </c>
      <c r="D146" t="s">
        <v>928</v>
      </c>
      <c r="E146">
        <v>7.4548539420016597</v>
      </c>
      <c r="F146">
        <f t="shared" si="12"/>
        <v>28500595.999999959</v>
      </c>
      <c r="G146">
        <f t="shared" si="13"/>
        <v>16087588137.999866</v>
      </c>
      <c r="H146" s="10">
        <f t="shared" si="14"/>
        <v>0.84733817588293903</v>
      </c>
      <c r="I146" s="11">
        <f t="shared" si="15"/>
        <v>1.5011350874388448E-3</v>
      </c>
      <c r="J146" t="s">
        <v>1084</v>
      </c>
      <c r="K146" t="s">
        <v>1668</v>
      </c>
      <c r="L146" t="s">
        <v>1669</v>
      </c>
    </row>
    <row r="147" spans="1:12">
      <c r="A147">
        <v>146</v>
      </c>
      <c r="B147" t="s">
        <v>716</v>
      </c>
      <c r="C147" t="s">
        <v>717</v>
      </c>
      <c r="D147" t="s">
        <v>928</v>
      </c>
      <c r="E147">
        <v>7.4508179693765904</v>
      </c>
      <c r="F147">
        <f t="shared" si="12"/>
        <v>28236961.999999695</v>
      </c>
      <c r="G147">
        <f t="shared" si="13"/>
        <v>16115825099.999866</v>
      </c>
      <c r="H147" s="10">
        <f t="shared" si="14"/>
        <v>0.84882542528715765</v>
      </c>
      <c r="I147" s="11">
        <f t="shared" si="15"/>
        <v>1.4872494042186676E-3</v>
      </c>
      <c r="J147" t="s">
        <v>1085</v>
      </c>
      <c r="K147" t="s">
        <v>1670</v>
      </c>
      <c r="L147" t="s">
        <v>1671</v>
      </c>
    </row>
    <row r="148" spans="1:12">
      <c r="A148">
        <v>147</v>
      </c>
      <c r="B148" t="s">
        <v>292</v>
      </c>
      <c r="C148" t="s">
        <v>293</v>
      </c>
      <c r="D148" t="s">
        <v>928</v>
      </c>
      <c r="E148">
        <v>7.4503570217100101</v>
      </c>
      <c r="F148">
        <f t="shared" si="12"/>
        <v>28207008.000000037</v>
      </c>
      <c r="G148">
        <f t="shared" si="13"/>
        <v>16144032107.999866</v>
      </c>
      <c r="H148" s="10">
        <f t="shared" si="14"/>
        <v>0.8503110970050568</v>
      </c>
      <c r="I148" s="11">
        <f t="shared" si="15"/>
        <v>1.4856717178991035E-3</v>
      </c>
      <c r="J148" t="s">
        <v>1086</v>
      </c>
      <c r="K148" t="s">
        <v>1672</v>
      </c>
      <c r="L148" t="s">
        <v>1673</v>
      </c>
    </row>
    <row r="149" spans="1:12">
      <c r="A149">
        <v>148</v>
      </c>
      <c r="B149" t="s">
        <v>834</v>
      </c>
      <c r="C149" t="s">
        <v>835</v>
      </c>
      <c r="D149" t="s">
        <v>928</v>
      </c>
      <c r="E149">
        <v>7.4460740144694402</v>
      </c>
      <c r="F149">
        <f t="shared" si="12"/>
        <v>27930197.999999572</v>
      </c>
      <c r="G149">
        <f t="shared" si="13"/>
        <v>16171962305.999866</v>
      </c>
      <c r="H149" s="10">
        <f t="shared" si="14"/>
        <v>0.8517821890557955</v>
      </c>
      <c r="I149" s="11">
        <f t="shared" si="15"/>
        <v>1.4710920507386466E-3</v>
      </c>
      <c r="J149" t="s">
        <v>1087</v>
      </c>
      <c r="K149" t="s">
        <v>1674</v>
      </c>
      <c r="L149" t="s">
        <v>1675</v>
      </c>
    </row>
    <row r="150" spans="1:12">
      <c r="A150">
        <v>149</v>
      </c>
      <c r="B150" t="s">
        <v>212</v>
      </c>
      <c r="C150" t="s">
        <v>213</v>
      </c>
      <c r="D150" t="s">
        <v>928</v>
      </c>
      <c r="E150">
        <v>7.4438135584784701</v>
      </c>
      <c r="F150">
        <f t="shared" si="12"/>
        <v>27785201.999999579</v>
      </c>
      <c r="G150">
        <f t="shared" si="13"/>
        <v>16199747507.999866</v>
      </c>
      <c r="H150" s="10">
        <f t="shared" si="14"/>
        <v>0.85324564412297288</v>
      </c>
      <c r="I150" s="11">
        <f t="shared" si="15"/>
        <v>1.4634550671773811E-3</v>
      </c>
      <c r="J150" t="s">
        <v>1088</v>
      </c>
      <c r="K150" t="s">
        <v>1676</v>
      </c>
      <c r="L150" t="s">
        <v>1677</v>
      </c>
    </row>
    <row r="151" spans="1:12">
      <c r="A151">
        <v>150</v>
      </c>
      <c r="B151" t="s">
        <v>38</v>
      </c>
      <c r="C151" t="s">
        <v>39</v>
      </c>
      <c r="D151" t="s">
        <v>928</v>
      </c>
      <c r="E151">
        <v>7.4391701583205796</v>
      </c>
      <c r="F151">
        <f t="shared" si="12"/>
        <v>27489709.999999676</v>
      </c>
      <c r="G151">
        <f t="shared" si="13"/>
        <v>16227237217.999866</v>
      </c>
      <c r="H151" s="10">
        <f t="shared" si="14"/>
        <v>0.85469353553634964</v>
      </c>
      <c r="I151" s="11">
        <f t="shared" si="15"/>
        <v>1.4478914133766909E-3</v>
      </c>
      <c r="J151" t="s">
        <v>1089</v>
      </c>
      <c r="K151" t="s">
        <v>1678</v>
      </c>
      <c r="L151" t="s">
        <v>1679</v>
      </c>
    </row>
    <row r="152" spans="1:12">
      <c r="A152">
        <v>151</v>
      </c>
      <c r="B152" t="s">
        <v>718</v>
      </c>
      <c r="C152" t="s">
        <v>719</v>
      </c>
      <c r="D152" t="s">
        <v>928</v>
      </c>
      <c r="E152">
        <v>7.4380497425348304</v>
      </c>
      <c r="F152">
        <f t="shared" si="12"/>
        <v>27418881.999999568</v>
      </c>
      <c r="G152">
        <f t="shared" si="13"/>
        <v>16254656099.999866</v>
      </c>
      <c r="H152" s="10">
        <f t="shared" si="14"/>
        <v>0.85613769641735527</v>
      </c>
      <c r="I152" s="11">
        <f t="shared" si="15"/>
        <v>1.4441608810056036E-3</v>
      </c>
      <c r="J152" t="s">
        <v>1090</v>
      </c>
      <c r="K152" t="s">
        <v>1680</v>
      </c>
      <c r="L152" t="s">
        <v>1681</v>
      </c>
    </row>
    <row r="153" spans="1:12">
      <c r="A153">
        <v>152</v>
      </c>
      <c r="B153" t="s">
        <v>240</v>
      </c>
      <c r="C153" t="s">
        <v>241</v>
      </c>
      <c r="D153" t="s">
        <v>928</v>
      </c>
      <c r="E153">
        <v>7.4373028185760903</v>
      </c>
      <c r="F153">
        <f t="shared" si="12"/>
        <v>27371765.999999799</v>
      </c>
      <c r="G153">
        <f t="shared" si="13"/>
        <v>16282027865.999866</v>
      </c>
      <c r="H153" s="10">
        <f t="shared" si="14"/>
        <v>0.85757937568426479</v>
      </c>
      <c r="I153" s="11">
        <f t="shared" si="15"/>
        <v>1.4416792669095537E-3</v>
      </c>
      <c r="J153" t="s">
        <v>1091</v>
      </c>
      <c r="K153" t="s">
        <v>1510</v>
      </c>
      <c r="L153" t="s">
        <v>1682</v>
      </c>
    </row>
    <row r="154" spans="1:12">
      <c r="A154">
        <v>153</v>
      </c>
      <c r="B154" t="s">
        <v>178</v>
      </c>
      <c r="C154" t="s">
        <v>179</v>
      </c>
      <c r="D154" t="s">
        <v>928</v>
      </c>
      <c r="E154">
        <v>7.4369538690031103</v>
      </c>
      <c r="F154">
        <f t="shared" si="12"/>
        <v>27349782.000000022</v>
      </c>
      <c r="G154">
        <f t="shared" si="13"/>
        <v>16309377647.999866</v>
      </c>
      <c r="H154" s="10">
        <f t="shared" si="14"/>
        <v>0.85901989704718662</v>
      </c>
      <c r="I154" s="11">
        <f t="shared" si="15"/>
        <v>1.4405213629217943E-3</v>
      </c>
      <c r="J154" t="s">
        <v>1092</v>
      </c>
      <c r="K154" t="s">
        <v>1683</v>
      </c>
      <c r="L154" t="s">
        <v>1684</v>
      </c>
    </row>
    <row r="155" spans="1:12">
      <c r="A155">
        <v>154</v>
      </c>
      <c r="B155" t="s">
        <v>624</v>
      </c>
      <c r="C155" t="s">
        <v>625</v>
      </c>
      <c r="D155" t="s">
        <v>928</v>
      </c>
      <c r="E155">
        <v>7.4349083513073202</v>
      </c>
      <c r="F155">
        <f t="shared" si="12"/>
        <v>27221267.999999754</v>
      </c>
      <c r="G155">
        <f t="shared" si="13"/>
        <v>16336598915.999866</v>
      </c>
      <c r="H155" s="10">
        <f t="shared" si="14"/>
        <v>0.86045364953851611</v>
      </c>
      <c r="I155" s="11">
        <f t="shared" si="15"/>
        <v>1.433752491329512E-3</v>
      </c>
      <c r="J155" t="s">
        <v>1093</v>
      </c>
      <c r="K155" t="s">
        <v>1510</v>
      </c>
      <c r="L155" t="s">
        <v>1685</v>
      </c>
    </row>
    <row r="156" spans="1:12">
      <c r="A156">
        <v>155</v>
      </c>
      <c r="B156" t="s">
        <v>822</v>
      </c>
      <c r="C156" t="s">
        <v>823</v>
      </c>
      <c r="D156" t="s">
        <v>928</v>
      </c>
      <c r="E156">
        <v>7.4284941050597002</v>
      </c>
      <c r="F156">
        <f t="shared" si="12"/>
        <v>26822182.000000041</v>
      </c>
      <c r="G156">
        <f t="shared" si="13"/>
        <v>16363421097.999866</v>
      </c>
      <c r="H156" s="10">
        <f t="shared" si="14"/>
        <v>0.86186638204845623</v>
      </c>
      <c r="I156" s="11">
        <f t="shared" si="15"/>
        <v>1.4127325099401687E-3</v>
      </c>
      <c r="J156" s="12" t="s">
        <v>1094</v>
      </c>
      <c r="K156" t="s">
        <v>1686</v>
      </c>
      <c r="L156" t="s">
        <v>1687</v>
      </c>
    </row>
    <row r="157" spans="1:12">
      <c r="A157">
        <v>156</v>
      </c>
      <c r="B157" t="s">
        <v>680</v>
      </c>
      <c r="C157" t="s">
        <v>681</v>
      </c>
      <c r="D157" t="s">
        <v>928</v>
      </c>
      <c r="E157">
        <v>7.4260162089213697</v>
      </c>
      <c r="F157">
        <f t="shared" si="12"/>
        <v>26669582.000000015</v>
      </c>
      <c r="G157">
        <f t="shared" si="13"/>
        <v>16390090679.999866</v>
      </c>
      <c r="H157" s="10">
        <f t="shared" si="14"/>
        <v>0.86327107706983497</v>
      </c>
      <c r="I157" s="11">
        <f t="shared" si="15"/>
        <v>1.4046950213787643E-3</v>
      </c>
      <c r="J157" t="s">
        <v>1095</v>
      </c>
      <c r="K157" t="s">
        <v>1688</v>
      </c>
      <c r="L157" t="s">
        <v>1689</v>
      </c>
    </row>
    <row r="158" spans="1:12">
      <c r="A158">
        <v>157</v>
      </c>
      <c r="B158" t="s">
        <v>546</v>
      </c>
      <c r="C158" t="s">
        <v>547</v>
      </c>
      <c r="D158" t="s">
        <v>928</v>
      </c>
      <c r="E158">
        <v>7.4227571242564201</v>
      </c>
      <c r="F158">
        <f t="shared" si="12"/>
        <v>26470194.000000048</v>
      </c>
      <c r="G158">
        <f t="shared" si="13"/>
        <v>16416560873.999866</v>
      </c>
      <c r="H158" s="10">
        <f t="shared" si="14"/>
        <v>0.86466527026441642</v>
      </c>
      <c r="I158" s="11">
        <f t="shared" si="15"/>
        <v>1.3941931945813807E-3</v>
      </c>
      <c r="J158" t="s">
        <v>1096</v>
      </c>
      <c r="K158" t="s">
        <v>1417</v>
      </c>
      <c r="L158" t="s">
        <v>1690</v>
      </c>
    </row>
    <row r="159" spans="1:12">
      <c r="A159">
        <v>158</v>
      </c>
      <c r="B159" t="s">
        <v>828</v>
      </c>
      <c r="C159" t="s">
        <v>829</v>
      </c>
      <c r="D159" t="s">
        <v>928</v>
      </c>
      <c r="E159">
        <v>7.41362400565591</v>
      </c>
      <c r="F159">
        <f t="shared" si="12"/>
        <v>25919344.000000048</v>
      </c>
      <c r="G159">
        <f t="shared" si="13"/>
        <v>16442480217.999866</v>
      </c>
      <c r="H159" s="10">
        <f t="shared" si="14"/>
        <v>0.86603045002142209</v>
      </c>
      <c r="I159" s="11">
        <f t="shared" si="15"/>
        <v>1.3651797570057001E-3</v>
      </c>
      <c r="J159" t="s">
        <v>1097</v>
      </c>
      <c r="K159" t="s">
        <v>1691</v>
      </c>
      <c r="L159" t="s">
        <v>1692</v>
      </c>
    </row>
    <row r="160" spans="1:12">
      <c r="A160">
        <v>159</v>
      </c>
      <c r="B160" t="s">
        <v>646</v>
      </c>
      <c r="C160" t="s">
        <v>647</v>
      </c>
      <c r="D160" t="s">
        <v>928</v>
      </c>
      <c r="E160">
        <v>7.40942092848017</v>
      </c>
      <c r="F160">
        <f t="shared" si="12"/>
        <v>25669708.00000003</v>
      </c>
      <c r="G160">
        <f t="shared" si="13"/>
        <v>16468149925.999866</v>
      </c>
      <c r="H160" s="10">
        <f t="shared" si="14"/>
        <v>0.86738248137413876</v>
      </c>
      <c r="I160" s="11">
        <f t="shared" si="15"/>
        <v>1.352031352716614E-3</v>
      </c>
      <c r="J160" t="s">
        <v>1098</v>
      </c>
      <c r="K160" t="s">
        <v>1693</v>
      </c>
      <c r="L160" t="s">
        <v>1694</v>
      </c>
    </row>
    <row r="161" spans="1:12">
      <c r="A161">
        <v>160</v>
      </c>
      <c r="B161" t="s">
        <v>394</v>
      </c>
      <c r="C161" t="s">
        <v>395</v>
      </c>
      <c r="D161" t="s">
        <v>928</v>
      </c>
      <c r="E161">
        <v>7.4006877131526601</v>
      </c>
      <c r="F161">
        <f t="shared" si="12"/>
        <v>25158671.999999598</v>
      </c>
      <c r="G161">
        <f t="shared" si="13"/>
        <v>16493308597.999866</v>
      </c>
      <c r="H161" s="10">
        <f t="shared" si="14"/>
        <v>0.86870759630480776</v>
      </c>
      <c r="I161" s="11">
        <f t="shared" si="15"/>
        <v>1.3251149306689821E-3</v>
      </c>
      <c r="J161" t="s">
        <v>1099</v>
      </c>
      <c r="K161" t="s">
        <v>1510</v>
      </c>
      <c r="L161" t="s">
        <v>1695</v>
      </c>
    </row>
    <row r="162" spans="1:12">
      <c r="A162">
        <v>161</v>
      </c>
      <c r="B162" t="s">
        <v>899</v>
      </c>
      <c r="C162" t="s">
        <v>900</v>
      </c>
      <c r="D162" t="s">
        <v>928</v>
      </c>
      <c r="E162">
        <v>7.4000295587189999</v>
      </c>
      <c r="F162">
        <f t="shared" si="12"/>
        <v>25120573.999999985</v>
      </c>
      <c r="G162">
        <f t="shared" si="13"/>
        <v>16518429171.999866</v>
      </c>
      <c r="H162" s="10">
        <f t="shared" si="14"/>
        <v>0.87003070460219223</v>
      </c>
      <c r="I162" s="11">
        <f t="shared" si="15"/>
        <v>1.323108297384518E-3</v>
      </c>
      <c r="J162" t="s">
        <v>1100</v>
      </c>
      <c r="K162" t="s">
        <v>1510</v>
      </c>
      <c r="L162" t="s">
        <v>1696</v>
      </c>
    </row>
    <row r="163" spans="1:12">
      <c r="A163">
        <v>162</v>
      </c>
      <c r="B163" t="s">
        <v>538</v>
      </c>
      <c r="C163" t="s">
        <v>539</v>
      </c>
      <c r="D163" t="s">
        <v>928</v>
      </c>
      <c r="E163">
        <v>7.3964867235472402</v>
      </c>
      <c r="F163">
        <f t="shared" si="12"/>
        <v>24916481.999999765</v>
      </c>
      <c r="G163">
        <f t="shared" si="13"/>
        <v>16543345653.999866</v>
      </c>
      <c r="H163" s="10">
        <f t="shared" si="14"/>
        <v>0.87134306331166411</v>
      </c>
      <c r="I163" s="11">
        <f t="shared" si="15"/>
        <v>1.3123587094718337E-3</v>
      </c>
      <c r="J163" t="s">
        <v>1101</v>
      </c>
      <c r="K163" t="s">
        <v>1697</v>
      </c>
      <c r="L163" t="s">
        <v>1698</v>
      </c>
    </row>
    <row r="164" spans="1:12">
      <c r="A164">
        <v>163</v>
      </c>
      <c r="B164" t="s">
        <v>484</v>
      </c>
      <c r="C164" t="s">
        <v>485</v>
      </c>
      <c r="D164" t="s">
        <v>928</v>
      </c>
      <c r="E164">
        <v>7.3961681256071303</v>
      </c>
      <c r="F164">
        <f t="shared" si="12"/>
        <v>24898209.999999814</v>
      </c>
      <c r="G164">
        <f t="shared" si="13"/>
        <v>16568243863.999866</v>
      </c>
      <c r="H164" s="10">
        <f t="shared" si="14"/>
        <v>0.87265445962932076</v>
      </c>
      <c r="I164" s="11">
        <f t="shared" si="15"/>
        <v>1.3113963176566727E-3</v>
      </c>
      <c r="J164" t="s">
        <v>1102</v>
      </c>
      <c r="K164" t="s">
        <v>1419</v>
      </c>
      <c r="L164" t="s">
        <v>1699</v>
      </c>
    </row>
    <row r="165" spans="1:12">
      <c r="A165">
        <v>164</v>
      </c>
      <c r="B165" t="s">
        <v>600</v>
      </c>
      <c r="C165" t="s">
        <v>601</v>
      </c>
      <c r="D165" t="s">
        <v>928</v>
      </c>
      <c r="E165">
        <v>7.3879548957438503</v>
      </c>
      <c r="F165">
        <f t="shared" si="12"/>
        <v>24431767.999999806</v>
      </c>
      <c r="G165">
        <f t="shared" si="13"/>
        <v>16592675631.999866</v>
      </c>
      <c r="H165" s="10">
        <f t="shared" si="14"/>
        <v>0.87394128830451634</v>
      </c>
      <c r="I165" s="11">
        <f t="shared" si="15"/>
        <v>1.2868286751956111E-3</v>
      </c>
      <c r="J165" t="s">
        <v>1103</v>
      </c>
      <c r="K165" t="s">
        <v>1510</v>
      </c>
      <c r="L165" t="s">
        <v>1700</v>
      </c>
    </row>
    <row r="166" spans="1:12">
      <c r="A166">
        <v>165</v>
      </c>
      <c r="B166" t="s">
        <v>264</v>
      </c>
      <c r="C166" t="s">
        <v>265</v>
      </c>
      <c r="D166" t="s">
        <v>928</v>
      </c>
      <c r="E166">
        <v>7.3838074696453297</v>
      </c>
      <c r="F166">
        <f t="shared" si="12"/>
        <v>24199559.999999553</v>
      </c>
      <c r="G166">
        <f t="shared" si="13"/>
        <v>16616875191.999866</v>
      </c>
      <c r="H166" s="10">
        <f t="shared" si="14"/>
        <v>0.87521588651350057</v>
      </c>
      <c r="I166" s="11">
        <f t="shared" si="15"/>
        <v>1.2745982089841545E-3</v>
      </c>
      <c r="J166" t="s">
        <v>1104</v>
      </c>
      <c r="K166" t="s">
        <v>1701</v>
      </c>
      <c r="L166" t="s">
        <v>1702</v>
      </c>
    </row>
    <row r="167" spans="1:12">
      <c r="A167">
        <v>166</v>
      </c>
      <c r="B167" t="s">
        <v>622</v>
      </c>
      <c r="C167" t="s">
        <v>623</v>
      </c>
      <c r="D167" t="s">
        <v>928</v>
      </c>
      <c r="E167">
        <v>7.3705009506483696</v>
      </c>
      <c r="F167">
        <f t="shared" si="12"/>
        <v>23469344</v>
      </c>
      <c r="G167">
        <f t="shared" si="13"/>
        <v>16640344535.999866</v>
      </c>
      <c r="H167" s="10">
        <f t="shared" si="14"/>
        <v>0.87645202402296085</v>
      </c>
      <c r="I167" s="11">
        <f t="shared" si="15"/>
        <v>1.2361375094602366E-3</v>
      </c>
      <c r="J167" t="s">
        <v>1105</v>
      </c>
      <c r="K167" t="s">
        <v>1703</v>
      </c>
      <c r="L167" t="s">
        <v>1704</v>
      </c>
    </row>
    <row r="168" spans="1:12">
      <c r="A168">
        <v>167</v>
      </c>
      <c r="B168" t="s">
        <v>840</v>
      </c>
      <c r="C168" t="s">
        <v>841</v>
      </c>
      <c r="D168" t="s">
        <v>928</v>
      </c>
      <c r="E168">
        <v>7.3681773954134098</v>
      </c>
      <c r="F168">
        <f t="shared" si="12"/>
        <v>23344113.999999937</v>
      </c>
      <c r="G168">
        <f t="shared" si="13"/>
        <v>16663688649.999866</v>
      </c>
      <c r="H168" s="10">
        <f t="shared" si="14"/>
        <v>0.87768156563011079</v>
      </c>
      <c r="I168" s="11">
        <f t="shared" si="15"/>
        <v>1.2295416071499809E-3</v>
      </c>
      <c r="J168" t="s">
        <v>1106</v>
      </c>
      <c r="K168" t="s">
        <v>1510</v>
      </c>
      <c r="L168" t="s">
        <v>1705</v>
      </c>
    </row>
    <row r="169" spans="1:12">
      <c r="A169">
        <v>168</v>
      </c>
      <c r="B169" t="s">
        <v>688</v>
      </c>
      <c r="C169" t="s">
        <v>689</v>
      </c>
      <c r="D169" t="s">
        <v>928</v>
      </c>
      <c r="E169">
        <v>7.3659026130103102</v>
      </c>
      <c r="F169">
        <f t="shared" si="12"/>
        <v>23222159.999999814</v>
      </c>
      <c r="G169">
        <f t="shared" si="13"/>
        <v>16686910809.999866</v>
      </c>
      <c r="H169" s="10">
        <f t="shared" si="14"/>
        <v>0.87890468388287013</v>
      </c>
      <c r="I169" s="11">
        <f t="shared" si="15"/>
        <v>1.2231182527592973E-3</v>
      </c>
      <c r="J169" t="s">
        <v>1107</v>
      </c>
      <c r="K169" t="s">
        <v>1706</v>
      </c>
      <c r="L169" t="s">
        <v>1707</v>
      </c>
    </row>
    <row r="170" spans="1:12">
      <c r="A170">
        <v>169</v>
      </c>
      <c r="B170" t="s">
        <v>344</v>
      </c>
      <c r="C170" t="s">
        <v>345</v>
      </c>
      <c r="D170" t="s">
        <v>928</v>
      </c>
      <c r="E170">
        <v>7.36556476586036</v>
      </c>
      <c r="F170">
        <f t="shared" si="12"/>
        <v>23204101.999999687</v>
      </c>
      <c r="G170">
        <f t="shared" si="13"/>
        <v>16710114911.999866</v>
      </c>
      <c r="H170" s="10">
        <f t="shared" si="14"/>
        <v>0.88012685101525956</v>
      </c>
      <c r="I170" s="11">
        <f t="shared" si="15"/>
        <v>1.2221671323894229E-3</v>
      </c>
      <c r="J170" t="s">
        <v>1108</v>
      </c>
      <c r="K170" t="s">
        <v>1510</v>
      </c>
      <c r="L170" t="s">
        <v>1708</v>
      </c>
    </row>
    <row r="171" spans="1:12">
      <c r="A171">
        <v>170</v>
      </c>
      <c r="B171" t="s">
        <v>42</v>
      </c>
      <c r="C171" t="s">
        <v>43</v>
      </c>
      <c r="D171" t="s">
        <v>928</v>
      </c>
      <c r="E171">
        <v>7.3639237703450604</v>
      </c>
      <c r="F171">
        <f t="shared" si="12"/>
        <v>23116589.999999873</v>
      </c>
      <c r="G171">
        <f t="shared" si="13"/>
        <v>16733231501.999866</v>
      </c>
      <c r="H171" s="10">
        <f t="shared" si="14"/>
        <v>0.8813444088639073</v>
      </c>
      <c r="I171" s="11">
        <f t="shared" si="15"/>
        <v>1.2175578486477191E-3</v>
      </c>
      <c r="J171" t="s">
        <v>1109</v>
      </c>
      <c r="K171" t="s">
        <v>1709</v>
      </c>
      <c r="L171" t="s">
        <v>1710</v>
      </c>
    </row>
    <row r="172" spans="1:12">
      <c r="A172">
        <v>171</v>
      </c>
      <c r="B172" t="s">
        <v>572</v>
      </c>
      <c r="C172" t="s">
        <v>573</v>
      </c>
      <c r="D172" t="s">
        <v>928</v>
      </c>
      <c r="E172">
        <v>7.3637645389816004</v>
      </c>
      <c r="F172">
        <f t="shared" si="12"/>
        <v>23108115.99999968</v>
      </c>
      <c r="G172">
        <f t="shared" si="13"/>
        <v>16756339617.999866</v>
      </c>
      <c r="H172" s="10">
        <f t="shared" si="14"/>
        <v>0.8825615203843894</v>
      </c>
      <c r="I172" s="11">
        <f t="shared" si="15"/>
        <v>1.2171115204821169E-3</v>
      </c>
      <c r="J172" t="s">
        <v>1110</v>
      </c>
      <c r="K172" t="s">
        <v>1510</v>
      </c>
      <c r="L172" t="s">
        <v>1711</v>
      </c>
    </row>
    <row r="173" spans="1:12">
      <c r="A173">
        <v>172</v>
      </c>
      <c r="B173" t="s">
        <v>558</v>
      </c>
      <c r="C173" t="s">
        <v>559</v>
      </c>
      <c r="D173" t="s">
        <v>928</v>
      </c>
      <c r="E173">
        <v>7.3600960567010798</v>
      </c>
      <c r="F173">
        <f t="shared" si="12"/>
        <v>22913743.999999966</v>
      </c>
      <c r="G173">
        <f t="shared" si="13"/>
        <v>16779253361.999866</v>
      </c>
      <c r="H173" s="10">
        <f t="shared" si="14"/>
        <v>0.88376839427232468</v>
      </c>
      <c r="I173" s="11">
        <f t="shared" si="15"/>
        <v>1.2068738879352314E-3</v>
      </c>
      <c r="J173" t="s">
        <v>1111</v>
      </c>
      <c r="K173" t="s">
        <v>1510</v>
      </c>
      <c r="L173" t="s">
        <v>1712</v>
      </c>
    </row>
    <row r="174" spans="1:12">
      <c r="A174">
        <v>173</v>
      </c>
      <c r="B174" t="s">
        <v>140</v>
      </c>
      <c r="C174" t="s">
        <v>141</v>
      </c>
      <c r="D174" t="s">
        <v>928</v>
      </c>
      <c r="E174">
        <v>7.3572661666131198</v>
      </c>
      <c r="F174">
        <f t="shared" si="12"/>
        <v>22764921.99999975</v>
      </c>
      <c r="G174">
        <f t="shared" si="13"/>
        <v>16802018283.999866</v>
      </c>
      <c r="H174" s="10">
        <f t="shared" si="14"/>
        <v>0.88496742966011122</v>
      </c>
      <c r="I174" s="11">
        <f t="shared" si="15"/>
        <v>1.1990353877865626E-3</v>
      </c>
      <c r="J174" t="s">
        <v>1112</v>
      </c>
      <c r="K174" t="s">
        <v>1510</v>
      </c>
      <c r="L174" t="s">
        <v>1713</v>
      </c>
    </row>
    <row r="175" spans="1:12">
      <c r="A175">
        <v>174</v>
      </c>
      <c r="B175" t="s">
        <v>338</v>
      </c>
      <c r="C175" t="s">
        <v>339</v>
      </c>
      <c r="D175" t="s">
        <v>928</v>
      </c>
      <c r="E175">
        <v>7.3561330592155398</v>
      </c>
      <c r="F175">
        <f t="shared" si="12"/>
        <v>22705603.999999996</v>
      </c>
      <c r="G175">
        <f t="shared" si="13"/>
        <v>16824723887.999866</v>
      </c>
      <c r="H175" s="10">
        <f t="shared" si="14"/>
        <v>0.88616334075073866</v>
      </c>
      <c r="I175" s="11">
        <f t="shared" si="15"/>
        <v>1.1959110906274322E-3</v>
      </c>
      <c r="J175" t="s">
        <v>1113</v>
      </c>
      <c r="K175" t="s">
        <v>1714</v>
      </c>
      <c r="L175" t="s">
        <v>1715</v>
      </c>
    </row>
    <row r="176" spans="1:12">
      <c r="A176">
        <v>175</v>
      </c>
      <c r="B176" t="s">
        <v>94</v>
      </c>
      <c r="C176" t="s">
        <v>95</v>
      </c>
      <c r="D176" t="s">
        <v>928</v>
      </c>
      <c r="E176">
        <v>7.3511987410636799</v>
      </c>
      <c r="F176">
        <f t="shared" si="12"/>
        <v>22449089.999999873</v>
      </c>
      <c r="G176">
        <f t="shared" si="13"/>
        <v>16847172977.999866</v>
      </c>
      <c r="H176" s="10">
        <f t="shared" si="14"/>
        <v>0.88734574117071841</v>
      </c>
      <c r="I176" s="11">
        <f t="shared" si="15"/>
        <v>1.182400419979721E-3</v>
      </c>
      <c r="J176" t="s">
        <v>1114</v>
      </c>
      <c r="K176" t="s">
        <v>1716</v>
      </c>
      <c r="L176" t="s">
        <v>1717</v>
      </c>
    </row>
    <row r="177" spans="1:12">
      <c r="A177">
        <v>176</v>
      </c>
      <c r="B177" t="s">
        <v>430</v>
      </c>
      <c r="C177" t="s">
        <v>431</v>
      </c>
      <c r="D177" t="s">
        <v>928</v>
      </c>
      <c r="E177">
        <v>7.3473998871901101</v>
      </c>
      <c r="F177">
        <f t="shared" si="12"/>
        <v>22253579.999999762</v>
      </c>
      <c r="G177">
        <f t="shared" si="13"/>
        <v>16869426557.999866</v>
      </c>
      <c r="H177" s="10">
        <f t="shared" si="14"/>
        <v>0.88851784401934397</v>
      </c>
      <c r="I177" s="11">
        <f t="shared" si="15"/>
        <v>1.1721028486255873E-3</v>
      </c>
      <c r="J177" t="s">
        <v>1115</v>
      </c>
      <c r="K177" t="s">
        <v>1718</v>
      </c>
      <c r="L177" t="s">
        <v>1719</v>
      </c>
    </row>
    <row r="178" spans="1:12">
      <c r="A178">
        <v>177</v>
      </c>
      <c r="B178" t="s">
        <v>870</v>
      </c>
      <c r="C178" t="s">
        <v>871</v>
      </c>
      <c r="D178" t="s">
        <v>928</v>
      </c>
      <c r="E178">
        <v>7.3436289743343002</v>
      </c>
      <c r="F178">
        <f t="shared" si="12"/>
        <v>22061191.999999903</v>
      </c>
      <c r="G178">
        <f t="shared" si="13"/>
        <v>16891487749.999866</v>
      </c>
      <c r="H178" s="10">
        <f t="shared" si="14"/>
        <v>0.88967981373330807</v>
      </c>
      <c r="I178" s="11">
        <f t="shared" si="15"/>
        <v>1.1619697139640536E-3</v>
      </c>
      <c r="J178" t="s">
        <v>1116</v>
      </c>
      <c r="K178" t="s">
        <v>1720</v>
      </c>
      <c r="L178" t="s">
        <v>1721</v>
      </c>
    </row>
    <row r="179" spans="1:12">
      <c r="A179">
        <v>178</v>
      </c>
      <c r="B179" t="s">
        <v>444</v>
      </c>
      <c r="C179" t="s">
        <v>445</v>
      </c>
      <c r="D179" t="s">
        <v>928</v>
      </c>
      <c r="E179">
        <v>7.3417398677008796</v>
      </c>
      <c r="F179">
        <f t="shared" si="12"/>
        <v>21965437.999999762</v>
      </c>
      <c r="G179">
        <f t="shared" si="13"/>
        <v>16913453187.999866</v>
      </c>
      <c r="H179" s="10">
        <f t="shared" si="14"/>
        <v>0.89083674005487556</v>
      </c>
      <c r="I179" s="11">
        <f t="shared" si="15"/>
        <v>1.1569263215675284E-3</v>
      </c>
      <c r="J179" t="s">
        <v>1117</v>
      </c>
      <c r="K179" t="s">
        <v>1722</v>
      </c>
      <c r="L179" t="s">
        <v>1723</v>
      </c>
    </row>
    <row r="180" spans="1:12">
      <c r="A180">
        <v>179</v>
      </c>
      <c r="B180" t="s">
        <v>134</v>
      </c>
      <c r="C180" t="s">
        <v>135</v>
      </c>
      <c r="D180" t="s">
        <v>928</v>
      </c>
      <c r="E180">
        <v>7.33858700139925</v>
      </c>
      <c r="F180">
        <f t="shared" si="12"/>
        <v>21806551.999999937</v>
      </c>
      <c r="G180">
        <f t="shared" si="13"/>
        <v>16935259739.999866</v>
      </c>
      <c r="H180" s="10">
        <f t="shared" si="14"/>
        <v>0.8919852978023437</v>
      </c>
      <c r="I180" s="11">
        <f t="shared" si="15"/>
        <v>1.1485577474681465E-3</v>
      </c>
      <c r="J180" t="s">
        <v>1118</v>
      </c>
      <c r="K180" t="s">
        <v>1724</v>
      </c>
      <c r="L180" t="s">
        <v>1725</v>
      </c>
    </row>
    <row r="181" spans="1:12">
      <c r="A181">
        <v>180</v>
      </c>
      <c r="B181" t="s">
        <v>232</v>
      </c>
      <c r="C181" t="s">
        <v>233</v>
      </c>
      <c r="D181" t="s">
        <v>928</v>
      </c>
      <c r="E181">
        <v>7.3383037066363999</v>
      </c>
      <c r="F181">
        <f t="shared" si="12"/>
        <v>21792331.999999907</v>
      </c>
      <c r="G181">
        <f t="shared" si="13"/>
        <v>16957052071.999866</v>
      </c>
      <c r="H181" s="10">
        <f t="shared" si="14"/>
        <v>0.89313310657807299</v>
      </c>
      <c r="I181" s="11">
        <f t="shared" si="15"/>
        <v>1.1478087757293301E-3</v>
      </c>
      <c r="J181" t="s">
        <v>1119</v>
      </c>
      <c r="K181" t="s">
        <v>1726</v>
      </c>
      <c r="L181" t="s">
        <v>1727</v>
      </c>
    </row>
    <row r="182" spans="1:12">
      <c r="A182">
        <v>181</v>
      </c>
      <c r="B182" t="s">
        <v>570</v>
      </c>
      <c r="C182" t="s">
        <v>571</v>
      </c>
      <c r="D182" t="s">
        <v>928</v>
      </c>
      <c r="E182">
        <v>7.3300116415999401</v>
      </c>
      <c r="F182">
        <f t="shared" si="12"/>
        <v>21380193.999999791</v>
      </c>
      <c r="G182">
        <f t="shared" si="13"/>
        <v>16978432265.999866</v>
      </c>
      <c r="H182" s="10">
        <f t="shared" si="14"/>
        <v>0.89425920791959057</v>
      </c>
      <c r="I182" s="11">
        <f t="shared" si="15"/>
        <v>1.1261013415175317E-3</v>
      </c>
      <c r="J182" t="s">
        <v>1120</v>
      </c>
      <c r="K182" t="s">
        <v>1728</v>
      </c>
      <c r="L182" t="s">
        <v>1729</v>
      </c>
    </row>
    <row r="183" spans="1:12">
      <c r="A183">
        <v>182</v>
      </c>
      <c r="B183" t="s">
        <v>818</v>
      </c>
      <c r="C183" t="s">
        <v>819</v>
      </c>
      <c r="D183" t="s">
        <v>928</v>
      </c>
      <c r="E183">
        <v>7.3278300466708401</v>
      </c>
      <c r="F183">
        <f t="shared" si="12"/>
        <v>21273063.99999965</v>
      </c>
      <c r="G183">
        <f t="shared" si="13"/>
        <v>16999705329.999866</v>
      </c>
      <c r="H183" s="10">
        <f t="shared" si="14"/>
        <v>0.89537966669132052</v>
      </c>
      <c r="I183" s="11">
        <f t="shared" si="15"/>
        <v>1.1204587717299549E-3</v>
      </c>
      <c r="J183" t="s">
        <v>1121</v>
      </c>
      <c r="K183" t="s">
        <v>1730</v>
      </c>
      <c r="L183" t="s">
        <v>1731</v>
      </c>
    </row>
    <row r="184" spans="1:12">
      <c r="A184">
        <v>183</v>
      </c>
      <c r="B184" t="s">
        <v>40</v>
      </c>
      <c r="C184" t="s">
        <v>41</v>
      </c>
      <c r="D184" t="s">
        <v>928</v>
      </c>
      <c r="E184">
        <v>7.3273921234352404</v>
      </c>
      <c r="F184">
        <f t="shared" si="12"/>
        <v>21251623.999999799</v>
      </c>
      <c r="G184">
        <f t="shared" si="13"/>
        <v>17020956953.999866</v>
      </c>
      <c r="H184" s="10">
        <f t="shared" si="14"/>
        <v>0.8964989962117087</v>
      </c>
      <c r="I184" s="11">
        <f t="shared" si="15"/>
        <v>1.1193295203881771E-3</v>
      </c>
      <c r="J184" t="s">
        <v>1122</v>
      </c>
      <c r="K184" t="s">
        <v>1732</v>
      </c>
      <c r="L184" t="s">
        <v>1733</v>
      </c>
    </row>
    <row r="185" spans="1:12">
      <c r="A185">
        <v>184</v>
      </c>
      <c r="B185" t="s">
        <v>176</v>
      </c>
      <c r="C185" t="s">
        <v>177</v>
      </c>
      <c r="D185" t="s">
        <v>928</v>
      </c>
      <c r="E185">
        <v>7.3256448241863996</v>
      </c>
      <c r="F185">
        <f t="shared" si="12"/>
        <v>21166293.999999691</v>
      </c>
      <c r="G185">
        <f t="shared" si="13"/>
        <v>17042123247.999866</v>
      </c>
      <c r="H185" s="10">
        <f t="shared" si="14"/>
        <v>0.89761383137496098</v>
      </c>
      <c r="I185" s="11">
        <f t="shared" si="15"/>
        <v>1.114835163252231E-3</v>
      </c>
      <c r="J185" t="s">
        <v>1123</v>
      </c>
      <c r="K185" t="s">
        <v>1683</v>
      </c>
      <c r="L185" t="s">
        <v>1734</v>
      </c>
    </row>
    <row r="186" spans="1:12">
      <c r="A186">
        <v>185</v>
      </c>
      <c r="B186" t="s">
        <v>784</v>
      </c>
      <c r="C186" t="s">
        <v>785</v>
      </c>
      <c r="D186" t="s">
        <v>928</v>
      </c>
      <c r="E186">
        <v>7.3225102986039499</v>
      </c>
      <c r="F186">
        <f t="shared" si="12"/>
        <v>21014075.99999978</v>
      </c>
      <c r="G186">
        <f t="shared" si="13"/>
        <v>17063137323.999866</v>
      </c>
      <c r="H186" s="10">
        <f t="shared" si="14"/>
        <v>0.8987206491697084</v>
      </c>
      <c r="I186" s="11">
        <f t="shared" si="15"/>
        <v>1.1068177947473887E-3</v>
      </c>
      <c r="J186" t="s">
        <v>1124</v>
      </c>
      <c r="K186" t="s">
        <v>1735</v>
      </c>
      <c r="L186" t="s">
        <v>1736</v>
      </c>
    </row>
    <row r="187" spans="1:12">
      <c r="A187">
        <v>186</v>
      </c>
      <c r="B187" t="s">
        <v>758</v>
      </c>
      <c r="C187" t="s">
        <v>759</v>
      </c>
      <c r="D187" t="s">
        <v>928</v>
      </c>
      <c r="E187">
        <v>7.3190531075651197</v>
      </c>
      <c r="F187">
        <f t="shared" si="12"/>
        <v>20847457.99999987</v>
      </c>
      <c r="G187">
        <f t="shared" si="13"/>
        <v>17083984781.999866</v>
      </c>
      <c r="H187" s="10">
        <f t="shared" si="14"/>
        <v>0.89981869114355717</v>
      </c>
      <c r="I187" s="11">
        <f t="shared" si="15"/>
        <v>1.0980419738488099E-3</v>
      </c>
      <c r="J187" t="s">
        <v>1125</v>
      </c>
      <c r="K187" t="s">
        <v>1737</v>
      </c>
      <c r="L187" t="s">
        <v>1738</v>
      </c>
    </row>
    <row r="188" spans="1:12">
      <c r="A188">
        <v>187</v>
      </c>
      <c r="B188" t="s">
        <v>362</v>
      </c>
      <c r="C188" t="s">
        <v>363</v>
      </c>
      <c r="D188" t="s">
        <v>928</v>
      </c>
      <c r="E188">
        <v>7.31857099564421</v>
      </c>
      <c r="F188">
        <f t="shared" si="12"/>
        <v>20824327.999999687</v>
      </c>
      <c r="G188">
        <f t="shared" si="13"/>
        <v>17104809109.999866</v>
      </c>
      <c r="H188" s="10">
        <f t="shared" si="14"/>
        <v>0.90091551485324861</v>
      </c>
      <c r="I188" s="11">
        <f t="shared" si="15"/>
        <v>1.0968237096913608E-3</v>
      </c>
      <c r="J188" t="s">
        <v>1126</v>
      </c>
      <c r="K188" t="s">
        <v>1739</v>
      </c>
      <c r="L188" t="s">
        <v>1740</v>
      </c>
    </row>
    <row r="189" spans="1:12">
      <c r="A189">
        <v>188</v>
      </c>
      <c r="B189" t="s">
        <v>792</v>
      </c>
      <c r="C189" t="s">
        <v>793</v>
      </c>
      <c r="D189" t="s">
        <v>928</v>
      </c>
      <c r="E189">
        <v>7.3147360359881501</v>
      </c>
      <c r="F189">
        <f t="shared" si="12"/>
        <v>20641251.999999721</v>
      </c>
      <c r="G189">
        <f t="shared" si="13"/>
        <v>17125450361.999866</v>
      </c>
      <c r="H189" s="10">
        <f t="shared" si="14"/>
        <v>0.90200269589415971</v>
      </c>
      <c r="I189" s="11">
        <f t="shared" si="15"/>
        <v>1.0871810409111044E-3</v>
      </c>
      <c r="J189" s="12" t="s">
        <v>1127</v>
      </c>
      <c r="K189" t="s">
        <v>1741</v>
      </c>
      <c r="L189" t="s">
        <v>1742</v>
      </c>
    </row>
    <row r="190" spans="1:12">
      <c r="A190">
        <v>189</v>
      </c>
      <c r="B190" t="s">
        <v>306</v>
      </c>
      <c r="C190" t="s">
        <v>307</v>
      </c>
      <c r="D190" t="s">
        <v>928</v>
      </c>
      <c r="E190">
        <v>7.3115079171970203</v>
      </c>
      <c r="F190">
        <f t="shared" si="12"/>
        <v>20488393.999999635</v>
      </c>
      <c r="G190">
        <f t="shared" si="13"/>
        <v>17145938755.999866</v>
      </c>
      <c r="H190" s="10">
        <f t="shared" si="14"/>
        <v>0.90308182585757069</v>
      </c>
      <c r="I190" s="11">
        <f t="shared" si="15"/>
        <v>1.0791299634109756E-3</v>
      </c>
      <c r="J190" t="s">
        <v>1128</v>
      </c>
      <c r="K190" t="s">
        <v>1743</v>
      </c>
      <c r="L190" t="s">
        <v>1744</v>
      </c>
    </row>
    <row r="191" spans="1:12">
      <c r="A191">
        <v>190</v>
      </c>
      <c r="B191" t="s">
        <v>142</v>
      </c>
      <c r="C191" t="s">
        <v>143</v>
      </c>
      <c r="D191" t="s">
        <v>928</v>
      </c>
      <c r="E191">
        <v>7.3028011236666996</v>
      </c>
      <c r="F191">
        <f t="shared" si="12"/>
        <v>20081729.999999676</v>
      </c>
      <c r="G191">
        <f t="shared" si="13"/>
        <v>17166020485.999866</v>
      </c>
      <c r="H191" s="10">
        <f t="shared" si="14"/>
        <v>0.90413953670402014</v>
      </c>
      <c r="I191" s="11">
        <f t="shared" si="15"/>
        <v>1.0577108464494157E-3</v>
      </c>
      <c r="J191" t="s">
        <v>1129</v>
      </c>
      <c r="K191" t="s">
        <v>1745</v>
      </c>
      <c r="L191" t="s">
        <v>1746</v>
      </c>
    </row>
    <row r="192" spans="1:12">
      <c r="A192">
        <v>191</v>
      </c>
      <c r="B192" t="s">
        <v>746</v>
      </c>
      <c r="C192" t="s">
        <v>747</v>
      </c>
      <c r="D192" t="s">
        <v>928</v>
      </c>
      <c r="E192">
        <v>7.2971562794196396</v>
      </c>
      <c r="F192">
        <f t="shared" si="12"/>
        <v>19822401.999999914</v>
      </c>
      <c r="G192">
        <f t="shared" si="13"/>
        <v>17185842887.999866</v>
      </c>
      <c r="H192" s="10">
        <f t="shared" si="14"/>
        <v>0.90518358866558324</v>
      </c>
      <c r="I192" s="11">
        <f t="shared" si="15"/>
        <v>1.0440519615631143E-3</v>
      </c>
      <c r="J192" t="s">
        <v>1130</v>
      </c>
      <c r="K192" t="s">
        <v>1747</v>
      </c>
      <c r="L192" t="s">
        <v>1748</v>
      </c>
    </row>
    <row r="193" spans="1:12">
      <c r="A193">
        <v>192</v>
      </c>
      <c r="B193" t="s">
        <v>516</v>
      </c>
      <c r="C193" t="s">
        <v>517</v>
      </c>
      <c r="D193" t="s">
        <v>928</v>
      </c>
      <c r="E193">
        <v>7.2930369217653803</v>
      </c>
      <c r="F193">
        <f t="shared" si="12"/>
        <v>19635271.999999974</v>
      </c>
      <c r="G193">
        <f t="shared" si="13"/>
        <v>17205478159.999866</v>
      </c>
      <c r="H193" s="10">
        <f t="shared" si="14"/>
        <v>0.9062177844329492</v>
      </c>
      <c r="I193" s="11">
        <f t="shared" si="15"/>
        <v>1.0341957673659001E-3</v>
      </c>
      <c r="J193" t="s">
        <v>1131</v>
      </c>
      <c r="K193" t="s">
        <v>1749</v>
      </c>
      <c r="L193" t="s">
        <v>1750</v>
      </c>
    </row>
    <row r="194" spans="1:12">
      <c r="A194">
        <v>193</v>
      </c>
      <c r="B194" t="s">
        <v>372</v>
      </c>
      <c r="C194" t="s">
        <v>373</v>
      </c>
      <c r="D194" t="s">
        <v>928</v>
      </c>
      <c r="E194">
        <v>7.29175261847874</v>
      </c>
      <c r="F194">
        <f t="shared" si="12"/>
        <v>19577291.999999605</v>
      </c>
      <c r="G194">
        <f t="shared" si="13"/>
        <v>17225055451.999866</v>
      </c>
      <c r="H194" s="10">
        <f t="shared" si="14"/>
        <v>0.90724892637602417</v>
      </c>
      <c r="I194" s="11">
        <f t="shared" si="15"/>
        <v>1.0311419430749887E-3</v>
      </c>
      <c r="J194" t="s">
        <v>1132</v>
      </c>
      <c r="K194" t="s">
        <v>1751</v>
      </c>
      <c r="L194" t="s">
        <v>1752</v>
      </c>
    </row>
    <row r="195" spans="1:12">
      <c r="A195">
        <v>194</v>
      </c>
      <c r="B195" t="s">
        <v>66</v>
      </c>
      <c r="C195" t="s">
        <v>67</v>
      </c>
      <c r="D195" t="s">
        <v>928</v>
      </c>
      <c r="E195">
        <v>7.2852857563235096</v>
      </c>
      <c r="F195">
        <f t="shared" si="12"/>
        <v>19287935.999999758</v>
      </c>
      <c r="G195">
        <f t="shared" si="13"/>
        <v>17244343387.999866</v>
      </c>
      <c r="H195" s="10">
        <f t="shared" si="14"/>
        <v>0.90826482785029072</v>
      </c>
      <c r="I195" s="11">
        <f t="shared" si="15"/>
        <v>1.0159014742665215E-3</v>
      </c>
      <c r="J195" t="s">
        <v>1133</v>
      </c>
      <c r="K195" t="s">
        <v>1753</v>
      </c>
      <c r="L195" t="s">
        <v>1754</v>
      </c>
    </row>
    <row r="196" spans="1:12">
      <c r="A196">
        <v>195</v>
      </c>
      <c r="B196" t="s">
        <v>124</v>
      </c>
      <c r="C196" t="s">
        <v>125</v>
      </c>
      <c r="D196" t="s">
        <v>928</v>
      </c>
      <c r="E196">
        <v>7.2741325300813804</v>
      </c>
      <c r="F196">
        <f t="shared" si="12"/>
        <v>18798904.000000004</v>
      </c>
      <c r="G196">
        <f t="shared" si="13"/>
        <v>17263142291.999866</v>
      </c>
      <c r="H196" s="10">
        <f t="shared" si="14"/>
        <v>0.90925497185990345</v>
      </c>
      <c r="I196" s="11">
        <f t="shared" si="15"/>
        <v>9.9014400961279893E-4</v>
      </c>
      <c r="J196" t="s">
        <v>1134</v>
      </c>
      <c r="K196" t="s">
        <v>1755</v>
      </c>
      <c r="L196" t="s">
        <v>1756</v>
      </c>
    </row>
    <row r="197" spans="1:12">
      <c r="A197">
        <v>196</v>
      </c>
      <c r="B197" t="s">
        <v>578</v>
      </c>
      <c r="C197" t="s">
        <v>579</v>
      </c>
      <c r="D197" t="s">
        <v>928</v>
      </c>
      <c r="E197">
        <v>7.2737484030676303</v>
      </c>
      <c r="F197">
        <f t="shared" si="12"/>
        <v>18782283.99999994</v>
      </c>
      <c r="G197">
        <f t="shared" si="13"/>
        <v>17281924575.999866</v>
      </c>
      <c r="H197" s="10">
        <f t="shared" si="14"/>
        <v>0.91024424048904518</v>
      </c>
      <c r="I197" s="11">
        <f t="shared" si="15"/>
        <v>9.8926862914169118E-4</v>
      </c>
      <c r="J197" t="s">
        <v>1135</v>
      </c>
      <c r="K197" t="s">
        <v>1397</v>
      </c>
      <c r="L197" t="s">
        <v>1757</v>
      </c>
    </row>
    <row r="198" spans="1:12">
      <c r="A198">
        <v>197</v>
      </c>
      <c r="B198" t="s">
        <v>364</v>
      </c>
      <c r="C198" t="s">
        <v>365</v>
      </c>
      <c r="D198" t="s">
        <v>928</v>
      </c>
      <c r="E198">
        <v>7.2708845009759804</v>
      </c>
      <c r="F198">
        <f t="shared" si="12"/>
        <v>18658834.000000019</v>
      </c>
      <c r="G198">
        <f t="shared" si="13"/>
        <v>17300583409.999866</v>
      </c>
      <c r="H198" s="10">
        <f t="shared" si="14"/>
        <v>0.9112270069690197</v>
      </c>
      <c r="I198" s="11">
        <f t="shared" si="15"/>
        <v>9.8276647997455765E-4</v>
      </c>
      <c r="J198" t="s">
        <v>1136</v>
      </c>
      <c r="K198" t="s">
        <v>1758</v>
      </c>
      <c r="L198" t="s">
        <v>1759</v>
      </c>
    </row>
    <row r="199" spans="1:12">
      <c r="A199">
        <v>198</v>
      </c>
      <c r="B199" t="s">
        <v>774</v>
      </c>
      <c r="C199" t="s">
        <v>775</v>
      </c>
      <c r="D199" t="s">
        <v>928</v>
      </c>
      <c r="E199">
        <v>7.2637419430666004</v>
      </c>
      <c r="F199">
        <f t="shared" si="12"/>
        <v>18354473.999999776</v>
      </c>
      <c r="G199">
        <f t="shared" si="13"/>
        <v>17318937883.999866</v>
      </c>
      <c r="H199" s="10">
        <f t="shared" si="14"/>
        <v>0.91219374271492781</v>
      </c>
      <c r="I199" s="11">
        <f t="shared" si="15"/>
        <v>9.6673574590804034E-4</v>
      </c>
      <c r="J199" t="s">
        <v>1137</v>
      </c>
      <c r="K199" t="s">
        <v>1510</v>
      </c>
      <c r="L199" t="s">
        <v>1760</v>
      </c>
    </row>
    <row r="200" spans="1:12">
      <c r="A200">
        <v>199</v>
      </c>
      <c r="B200" t="s">
        <v>250</v>
      </c>
      <c r="C200" t="s">
        <v>251</v>
      </c>
      <c r="D200" t="s">
        <v>928</v>
      </c>
      <c r="E200">
        <v>7.2615792055022403</v>
      </c>
      <c r="F200">
        <f t="shared" si="12"/>
        <v>18263297.999999948</v>
      </c>
      <c r="G200">
        <f t="shared" si="13"/>
        <v>17337201181.999866</v>
      </c>
      <c r="H200" s="10">
        <f t="shared" si="14"/>
        <v>0.91315567619309623</v>
      </c>
      <c r="I200" s="11">
        <f t="shared" si="15"/>
        <v>9.6193347816837381E-4</v>
      </c>
      <c r="J200" t="s">
        <v>1138</v>
      </c>
      <c r="K200" t="s">
        <v>1761</v>
      </c>
      <c r="L200" t="s">
        <v>1762</v>
      </c>
    </row>
    <row r="201" spans="1:12">
      <c r="A201">
        <v>200</v>
      </c>
      <c r="B201" t="s">
        <v>248</v>
      </c>
      <c r="C201" t="s">
        <v>249</v>
      </c>
      <c r="D201" t="s">
        <v>928</v>
      </c>
      <c r="E201">
        <v>7.2584488720159701</v>
      </c>
      <c r="F201">
        <f t="shared" ref="F201:F264" si="16">POWER(10,E201)</f>
        <v>18132131.99999978</v>
      </c>
      <c r="G201">
        <f t="shared" ref="G201:G264" si="17">SUM(F201,G200)</f>
        <v>17355333313.999866</v>
      </c>
      <c r="H201" s="10">
        <f t="shared" ref="H201:H264" si="18">G201/$F$1</f>
        <v>0.91411070111802306</v>
      </c>
      <c r="I201" s="11">
        <f t="shared" ref="I201:I264" si="19">F201/F$1</f>
        <v>9.550249249269168E-4</v>
      </c>
      <c r="J201" t="s">
        <v>1139</v>
      </c>
      <c r="K201" t="s">
        <v>1763</v>
      </c>
      <c r="L201" t="s">
        <v>1764</v>
      </c>
    </row>
    <row r="202" spans="1:12">
      <c r="A202">
        <v>201</v>
      </c>
      <c r="B202" t="s">
        <v>472</v>
      </c>
      <c r="C202" t="s">
        <v>473</v>
      </c>
      <c r="D202" t="s">
        <v>928</v>
      </c>
      <c r="E202">
        <v>7.2539364926043604</v>
      </c>
      <c r="F202">
        <f t="shared" si="16"/>
        <v>17944711.999999747</v>
      </c>
      <c r="G202">
        <f t="shared" si="17"/>
        <v>17373278025.999866</v>
      </c>
      <c r="H202" s="10">
        <f t="shared" si="18"/>
        <v>0.91505585457436434</v>
      </c>
      <c r="I202" s="11">
        <f t="shared" si="19"/>
        <v>9.4515345634121298E-4</v>
      </c>
      <c r="J202" t="s">
        <v>1140</v>
      </c>
      <c r="K202" t="s">
        <v>1510</v>
      </c>
      <c r="L202" t="s">
        <v>1765</v>
      </c>
    </row>
    <row r="203" spans="1:12">
      <c r="A203">
        <v>202</v>
      </c>
      <c r="B203" t="s">
        <v>584</v>
      </c>
      <c r="C203" t="s">
        <v>585</v>
      </c>
      <c r="D203" t="s">
        <v>928</v>
      </c>
      <c r="E203">
        <v>7.2501624722956501</v>
      </c>
      <c r="F203">
        <f t="shared" si="16"/>
        <v>17789447.999999892</v>
      </c>
      <c r="G203">
        <f t="shared" si="17"/>
        <v>17391067473.999866</v>
      </c>
      <c r="H203" s="10">
        <f t="shared" si="18"/>
        <v>0.91599283022845135</v>
      </c>
      <c r="I203" s="11">
        <f t="shared" si="19"/>
        <v>9.3697565408697636E-4</v>
      </c>
      <c r="J203" t="s">
        <v>1141</v>
      </c>
      <c r="K203" t="s">
        <v>1766</v>
      </c>
      <c r="L203" t="s">
        <v>1767</v>
      </c>
    </row>
    <row r="204" spans="1:12">
      <c r="A204">
        <v>203</v>
      </c>
      <c r="B204" t="s">
        <v>824</v>
      </c>
      <c r="C204" t="s">
        <v>825</v>
      </c>
      <c r="D204" t="s">
        <v>928</v>
      </c>
      <c r="E204">
        <v>7.2479611942796103</v>
      </c>
      <c r="F204">
        <f t="shared" si="16"/>
        <v>17699507.999999929</v>
      </c>
      <c r="G204">
        <f t="shared" si="17"/>
        <v>17408766981.999866</v>
      </c>
      <c r="H204" s="10">
        <f t="shared" si="18"/>
        <v>0.91692506871529578</v>
      </c>
      <c r="I204" s="11">
        <f t="shared" si="19"/>
        <v>9.3223848684443179E-4</v>
      </c>
      <c r="J204" t="s">
        <v>1142</v>
      </c>
      <c r="K204" t="s">
        <v>1768</v>
      </c>
      <c r="L204" t="s">
        <v>1769</v>
      </c>
    </row>
    <row r="205" spans="1:12">
      <c r="A205">
        <v>204</v>
      </c>
      <c r="B205" t="s">
        <v>224</v>
      </c>
      <c r="C205" t="s">
        <v>225</v>
      </c>
      <c r="D205" t="s">
        <v>928</v>
      </c>
      <c r="E205">
        <v>7.2441587192046297</v>
      </c>
      <c r="F205">
        <f t="shared" si="16"/>
        <v>17545215.999999601</v>
      </c>
      <c r="G205">
        <f t="shared" si="17"/>
        <v>17426312197.999866</v>
      </c>
      <c r="H205" s="10">
        <f t="shared" si="18"/>
        <v>0.91784918059542253</v>
      </c>
      <c r="I205" s="11">
        <f t="shared" si="19"/>
        <v>9.2411188012674755E-4</v>
      </c>
      <c r="J205" t="s">
        <v>1143</v>
      </c>
      <c r="K205" t="s">
        <v>1770</v>
      </c>
      <c r="L205" t="s">
        <v>1771</v>
      </c>
    </row>
    <row r="206" spans="1:12">
      <c r="A206">
        <v>205</v>
      </c>
      <c r="B206" t="s">
        <v>312</v>
      </c>
      <c r="C206" t="s">
        <v>313</v>
      </c>
      <c r="D206" t="s">
        <v>928</v>
      </c>
      <c r="E206">
        <v>7.2422753538610101</v>
      </c>
      <c r="F206">
        <f t="shared" si="16"/>
        <v>17469293.999999665</v>
      </c>
      <c r="G206">
        <f t="shared" si="17"/>
        <v>17443781491.999866</v>
      </c>
      <c r="H206" s="10">
        <f t="shared" si="18"/>
        <v>0.91876929364064397</v>
      </c>
      <c r="I206" s="11">
        <f t="shared" si="19"/>
        <v>9.2011304522138498E-4</v>
      </c>
      <c r="J206" t="s">
        <v>1144</v>
      </c>
      <c r="K206" t="s">
        <v>1510</v>
      </c>
      <c r="L206" t="s">
        <v>1772</v>
      </c>
    </row>
    <row r="207" spans="1:12">
      <c r="A207">
        <v>206</v>
      </c>
      <c r="B207" t="s">
        <v>274</v>
      </c>
      <c r="C207" t="s">
        <v>275</v>
      </c>
      <c r="D207" t="s">
        <v>928</v>
      </c>
      <c r="E207">
        <v>7.2397709145249403</v>
      </c>
      <c r="F207">
        <f t="shared" si="16"/>
        <v>17368843.999999687</v>
      </c>
      <c r="G207">
        <f t="shared" si="17"/>
        <v>17461150335.999866</v>
      </c>
      <c r="H207" s="10">
        <f t="shared" si="18"/>
        <v>0.91968411595371591</v>
      </c>
      <c r="I207" s="11">
        <f t="shared" si="19"/>
        <v>9.1482231307202222E-4</v>
      </c>
      <c r="J207" t="s">
        <v>1145</v>
      </c>
      <c r="K207" t="s">
        <v>1773</v>
      </c>
      <c r="L207" t="s">
        <v>1774</v>
      </c>
    </row>
    <row r="208" spans="1:12">
      <c r="A208">
        <v>207</v>
      </c>
      <c r="B208" t="s">
        <v>432</v>
      </c>
      <c r="C208" t="s">
        <v>433</v>
      </c>
      <c r="D208" t="s">
        <v>928</v>
      </c>
      <c r="E208">
        <v>7.2391119035091798</v>
      </c>
      <c r="F208">
        <f t="shared" si="16"/>
        <v>17342507.999999903</v>
      </c>
      <c r="G208">
        <f t="shared" si="17"/>
        <v>17478492843.999866</v>
      </c>
      <c r="H208" s="10">
        <f t="shared" si="18"/>
        <v>0.92059755114163233</v>
      </c>
      <c r="I208" s="11">
        <f t="shared" si="19"/>
        <v>9.1343518791637754E-4</v>
      </c>
      <c r="J208" t="s">
        <v>1146</v>
      </c>
      <c r="K208" t="s">
        <v>1775</v>
      </c>
      <c r="L208" t="s">
        <v>1776</v>
      </c>
    </row>
    <row r="209" spans="1:12">
      <c r="A209">
        <v>208</v>
      </c>
      <c r="B209" t="s">
        <v>16</v>
      </c>
      <c r="C209" t="s">
        <v>17</v>
      </c>
      <c r="D209" t="s">
        <v>928</v>
      </c>
      <c r="E209">
        <v>7.2338365073806701</v>
      </c>
      <c r="F209">
        <f t="shared" si="16"/>
        <v>17133121.999999728</v>
      </c>
      <c r="G209">
        <f t="shared" si="17"/>
        <v>17495625965.999866</v>
      </c>
      <c r="H209" s="10">
        <f t="shared" si="18"/>
        <v>0.92149995790504069</v>
      </c>
      <c r="I209" s="11">
        <f t="shared" si="19"/>
        <v>9.024067634083872E-4</v>
      </c>
      <c r="J209" s="12" t="s">
        <v>1147</v>
      </c>
      <c r="K209" t="s">
        <v>1777</v>
      </c>
      <c r="L209" t="s">
        <v>1778</v>
      </c>
    </row>
    <row r="210" spans="1:12">
      <c r="A210">
        <v>209</v>
      </c>
      <c r="B210" t="s">
        <v>881</v>
      </c>
      <c r="C210" t="s">
        <v>882</v>
      </c>
      <c r="D210" t="s">
        <v>928</v>
      </c>
      <c r="E210">
        <v>7.2324337541612902</v>
      </c>
      <c r="F210">
        <f t="shared" si="16"/>
        <v>17077871.999999754</v>
      </c>
      <c r="G210">
        <f t="shared" si="17"/>
        <v>17512703837.999866</v>
      </c>
      <c r="H210" s="10">
        <f t="shared" si="18"/>
        <v>0.92239945463409123</v>
      </c>
      <c r="I210" s="11">
        <f t="shared" si="19"/>
        <v>8.9949672905047565E-4</v>
      </c>
      <c r="J210" t="s">
        <v>1148</v>
      </c>
      <c r="K210" t="s">
        <v>1779</v>
      </c>
      <c r="L210" t="s">
        <v>1780</v>
      </c>
    </row>
    <row r="211" spans="1:12">
      <c r="A211">
        <v>210</v>
      </c>
      <c r="B211" t="s">
        <v>664</v>
      </c>
      <c r="C211" t="s">
        <v>665</v>
      </c>
      <c r="D211" t="s">
        <v>928</v>
      </c>
      <c r="E211">
        <v>7.2321423275091199</v>
      </c>
      <c r="F211">
        <f t="shared" si="16"/>
        <v>17066415.999999996</v>
      </c>
      <c r="G211">
        <f t="shared" si="17"/>
        <v>17529770253.999866</v>
      </c>
      <c r="H211" s="10">
        <f t="shared" si="18"/>
        <v>0.92329834797212629</v>
      </c>
      <c r="I211" s="11">
        <f t="shared" si="19"/>
        <v>8.9889333803502684E-4</v>
      </c>
      <c r="J211" t="s">
        <v>1149</v>
      </c>
      <c r="K211" t="s">
        <v>1781</v>
      </c>
      <c r="L211" t="s">
        <v>1782</v>
      </c>
    </row>
    <row r="212" spans="1:12">
      <c r="A212">
        <v>211</v>
      </c>
      <c r="B212" t="s">
        <v>846</v>
      </c>
      <c r="C212" t="s">
        <v>847</v>
      </c>
      <c r="D212" t="s">
        <v>928</v>
      </c>
      <c r="E212">
        <v>7.2282603454677199</v>
      </c>
      <c r="F212">
        <f t="shared" si="16"/>
        <v>16914545.99999978</v>
      </c>
      <c r="G212">
        <f t="shared" si="17"/>
        <v>17546684799.999866</v>
      </c>
      <c r="H212" s="10">
        <f t="shared" si="18"/>
        <v>0.92418924227092258</v>
      </c>
      <c r="I212" s="11">
        <f t="shared" si="19"/>
        <v>8.9089429879635044E-4</v>
      </c>
      <c r="J212" t="s">
        <v>1150</v>
      </c>
      <c r="K212" t="s">
        <v>1783</v>
      </c>
      <c r="L212" t="s">
        <v>1784</v>
      </c>
    </row>
    <row r="213" spans="1:12">
      <c r="A213">
        <v>212</v>
      </c>
      <c r="B213" t="s">
        <v>756</v>
      </c>
      <c r="C213" t="s">
        <v>757</v>
      </c>
      <c r="D213" t="s">
        <v>928</v>
      </c>
      <c r="E213">
        <v>7.2254822929301303</v>
      </c>
      <c r="F213">
        <f t="shared" si="16"/>
        <v>16806693.99999978</v>
      </c>
      <c r="G213">
        <f t="shared" si="17"/>
        <v>17563491493.999866</v>
      </c>
      <c r="H213" s="10">
        <f t="shared" si="18"/>
        <v>0.92507445597197113</v>
      </c>
      <c r="I213" s="11">
        <f t="shared" si="19"/>
        <v>8.8521370104848395E-4</v>
      </c>
      <c r="J213" t="s">
        <v>1151</v>
      </c>
      <c r="K213" t="s">
        <v>1785</v>
      </c>
      <c r="L213" t="s">
        <v>1786</v>
      </c>
    </row>
    <row r="214" spans="1:12">
      <c r="A214">
        <v>213</v>
      </c>
      <c r="B214" t="s">
        <v>887</v>
      </c>
      <c r="C214" t="s">
        <v>888</v>
      </c>
      <c r="D214" t="s">
        <v>928</v>
      </c>
      <c r="E214">
        <v>7.2209154127151596</v>
      </c>
      <c r="F214">
        <f t="shared" si="16"/>
        <v>16630886.999999953</v>
      </c>
      <c r="G214">
        <f t="shared" si="17"/>
        <v>17580122380.999866</v>
      </c>
      <c r="H214" s="10">
        <f t="shared" si="18"/>
        <v>0.92595040986468724</v>
      </c>
      <c r="I214" s="11">
        <f t="shared" si="19"/>
        <v>8.7595389271615638E-4</v>
      </c>
      <c r="J214" t="s">
        <v>1152</v>
      </c>
      <c r="K214" t="s">
        <v>1787</v>
      </c>
      <c r="L214" t="s">
        <v>1788</v>
      </c>
    </row>
    <row r="215" spans="1:12">
      <c r="A215">
        <v>214</v>
      </c>
      <c r="B215" t="s">
        <v>732</v>
      </c>
      <c r="C215" t="s">
        <v>733</v>
      </c>
      <c r="D215" t="s">
        <v>928</v>
      </c>
      <c r="E215">
        <v>7.2202454446493096</v>
      </c>
      <c r="F215">
        <f t="shared" si="16"/>
        <v>16605250.999999812</v>
      </c>
      <c r="G215">
        <f t="shared" si="17"/>
        <v>17596727631.999866</v>
      </c>
      <c r="H215" s="10">
        <f t="shared" si="18"/>
        <v>0.9268250135014614</v>
      </c>
      <c r="I215" s="11">
        <f t="shared" si="19"/>
        <v>8.7460363677407732E-4</v>
      </c>
      <c r="J215" t="s">
        <v>1153</v>
      </c>
      <c r="K215" t="s">
        <v>1789</v>
      </c>
      <c r="L215" t="s">
        <v>1790</v>
      </c>
    </row>
    <row r="216" spans="1:12">
      <c r="A216">
        <v>215</v>
      </c>
      <c r="B216" t="s">
        <v>436</v>
      </c>
      <c r="C216" t="s">
        <v>437</v>
      </c>
      <c r="D216" t="s">
        <v>928</v>
      </c>
      <c r="E216">
        <v>7.2090432808392597</v>
      </c>
      <c r="F216">
        <f t="shared" si="16"/>
        <v>16182412.99999979</v>
      </c>
      <c r="G216">
        <f t="shared" si="17"/>
        <v>17612910044.999866</v>
      </c>
      <c r="H216" s="10">
        <f t="shared" si="18"/>
        <v>0.9276773461317589</v>
      </c>
      <c r="I216" s="11">
        <f t="shared" si="19"/>
        <v>8.5233263029749337E-4</v>
      </c>
      <c r="J216" t="s">
        <v>1154</v>
      </c>
      <c r="K216" t="s">
        <v>1791</v>
      </c>
      <c r="L216" t="s">
        <v>1792</v>
      </c>
    </row>
    <row r="217" spans="1:12">
      <c r="A217">
        <v>216</v>
      </c>
      <c r="B217" t="s">
        <v>874</v>
      </c>
      <c r="C217" t="s">
        <v>875</v>
      </c>
      <c r="D217" t="s">
        <v>928</v>
      </c>
      <c r="E217">
        <v>7.2045007733587498</v>
      </c>
      <c r="F217">
        <f t="shared" si="16"/>
        <v>16014034.999999879</v>
      </c>
      <c r="G217">
        <f t="shared" si="17"/>
        <v>17628924079.999866</v>
      </c>
      <c r="H217" s="10">
        <f t="shared" si="18"/>
        <v>0.92852081024142075</v>
      </c>
      <c r="I217" s="11">
        <f t="shared" si="19"/>
        <v>8.4346410966190232E-4</v>
      </c>
      <c r="J217" t="s">
        <v>1155</v>
      </c>
      <c r="K217" t="s">
        <v>1793</v>
      </c>
      <c r="L217" t="s">
        <v>1794</v>
      </c>
    </row>
    <row r="218" spans="1:12">
      <c r="A218">
        <v>217</v>
      </c>
      <c r="B218" t="s">
        <v>566</v>
      </c>
      <c r="C218" t="s">
        <v>567</v>
      </c>
      <c r="D218" t="s">
        <v>928</v>
      </c>
      <c r="E218">
        <v>7.2009588120668901</v>
      </c>
      <c r="F218">
        <f t="shared" si="16"/>
        <v>15883961.000000024</v>
      </c>
      <c r="G218">
        <f t="shared" si="17"/>
        <v>17644808040.999866</v>
      </c>
      <c r="H218" s="10">
        <f t="shared" si="18"/>
        <v>0.92935742331381443</v>
      </c>
      <c r="I218" s="11">
        <f t="shared" si="19"/>
        <v>8.3661307239365351E-4</v>
      </c>
      <c r="J218" t="s">
        <v>1156</v>
      </c>
      <c r="K218" t="s">
        <v>1795</v>
      </c>
      <c r="L218" t="s">
        <v>1796</v>
      </c>
    </row>
    <row r="219" spans="1:12">
      <c r="A219">
        <v>218</v>
      </c>
      <c r="B219" t="s">
        <v>128</v>
      </c>
      <c r="C219" t="s">
        <v>129</v>
      </c>
      <c r="D219" t="s">
        <v>928</v>
      </c>
      <c r="E219">
        <v>7.1996621668599197</v>
      </c>
      <c r="F219">
        <f t="shared" si="16"/>
        <v>15836607.999999961</v>
      </c>
      <c r="G219">
        <f t="shared" si="17"/>
        <v>17660644648.999866</v>
      </c>
      <c r="H219" s="10">
        <f t="shared" si="18"/>
        <v>0.93019154228924972</v>
      </c>
      <c r="I219" s="11">
        <f t="shared" si="19"/>
        <v>8.3411897543527467E-4</v>
      </c>
      <c r="J219" t="s">
        <v>1157</v>
      </c>
      <c r="K219" t="s">
        <v>1797</v>
      </c>
      <c r="L219" t="s">
        <v>1798</v>
      </c>
    </row>
    <row r="220" spans="1:12">
      <c r="A220">
        <v>219</v>
      </c>
      <c r="B220" t="s">
        <v>412</v>
      </c>
      <c r="C220" t="s">
        <v>413</v>
      </c>
      <c r="D220" t="s">
        <v>928</v>
      </c>
      <c r="E220">
        <v>7.1930717838206304</v>
      </c>
      <c r="F220">
        <f t="shared" si="16"/>
        <v>15598103.000000019</v>
      </c>
      <c r="G220">
        <f t="shared" si="17"/>
        <v>17676242751.999866</v>
      </c>
      <c r="H220" s="10">
        <f t="shared" si="18"/>
        <v>0.93101309913356223</v>
      </c>
      <c r="I220" s="11">
        <f t="shared" si="19"/>
        <v>8.215568443124898E-4</v>
      </c>
      <c r="J220" t="s">
        <v>1158</v>
      </c>
      <c r="K220" t="s">
        <v>1799</v>
      </c>
      <c r="L220" t="s">
        <v>1800</v>
      </c>
    </row>
    <row r="221" spans="1:12">
      <c r="A221">
        <v>220</v>
      </c>
      <c r="B221" t="s">
        <v>636</v>
      </c>
      <c r="C221" t="s">
        <v>637</v>
      </c>
      <c r="D221" t="s">
        <v>928</v>
      </c>
      <c r="E221">
        <v>7.1843232030863096</v>
      </c>
      <c r="F221">
        <f t="shared" si="16"/>
        <v>15287032.999999953</v>
      </c>
      <c r="G221">
        <f t="shared" si="17"/>
        <v>17691529784.999866</v>
      </c>
      <c r="H221" s="10">
        <f t="shared" si="18"/>
        <v>0.93181827182606081</v>
      </c>
      <c r="I221" s="11">
        <f t="shared" si="19"/>
        <v>8.0517269249862251E-4</v>
      </c>
      <c r="J221" t="s">
        <v>1159</v>
      </c>
      <c r="K221" t="s">
        <v>1469</v>
      </c>
      <c r="L221" t="s">
        <v>1801</v>
      </c>
    </row>
    <row r="222" spans="1:12">
      <c r="A222">
        <v>221</v>
      </c>
      <c r="B222" t="s">
        <v>852</v>
      </c>
      <c r="C222" t="s">
        <v>853</v>
      </c>
      <c r="D222" t="s">
        <v>928</v>
      </c>
      <c r="E222">
        <v>7.1825618367704003</v>
      </c>
      <c r="F222">
        <f t="shared" si="16"/>
        <v>15225159.000000004</v>
      </c>
      <c r="G222">
        <f t="shared" si="17"/>
        <v>17706754943.999866</v>
      </c>
      <c r="H222" s="10">
        <f t="shared" si="18"/>
        <v>0.93262018559610038</v>
      </c>
      <c r="I222" s="11">
        <f t="shared" si="19"/>
        <v>8.0191377003959341E-4</v>
      </c>
      <c r="J222" t="s">
        <v>1160</v>
      </c>
      <c r="K222" t="s">
        <v>1469</v>
      </c>
      <c r="L222" t="s">
        <v>1802</v>
      </c>
    </row>
    <row r="223" spans="1:12">
      <c r="A223">
        <v>222</v>
      </c>
      <c r="B223" t="s">
        <v>332</v>
      </c>
      <c r="C223" t="s">
        <v>333</v>
      </c>
      <c r="D223" t="s">
        <v>928</v>
      </c>
      <c r="E223">
        <v>7.1794142427996102</v>
      </c>
      <c r="F223">
        <f t="shared" si="16"/>
        <v>15115212.000000004</v>
      </c>
      <c r="G223">
        <f t="shared" si="17"/>
        <v>17721870155.999866</v>
      </c>
      <c r="H223" s="10">
        <f t="shared" si="18"/>
        <v>0.93341630842410295</v>
      </c>
      <c r="I223" s="11">
        <f t="shared" si="19"/>
        <v>7.9612282800249916E-4</v>
      </c>
      <c r="J223" t="s">
        <v>1161</v>
      </c>
      <c r="K223" t="s">
        <v>1743</v>
      </c>
      <c r="L223" t="s">
        <v>1803</v>
      </c>
    </row>
    <row r="224" spans="1:12">
      <c r="A224">
        <v>223</v>
      </c>
      <c r="B224" t="s">
        <v>460</v>
      </c>
      <c r="C224" t="s">
        <v>461</v>
      </c>
      <c r="D224" t="s">
        <v>928</v>
      </c>
      <c r="E224">
        <v>7.1712600312900499</v>
      </c>
      <c r="F224">
        <f t="shared" si="16"/>
        <v>14834059.99999987</v>
      </c>
      <c r="G224">
        <f t="shared" si="17"/>
        <v>17736704215.999866</v>
      </c>
      <c r="H224" s="10">
        <f t="shared" si="18"/>
        <v>0.93419762289048014</v>
      </c>
      <c r="I224" s="11">
        <f t="shared" si="19"/>
        <v>7.8131446637722619E-4</v>
      </c>
      <c r="J224" t="s">
        <v>1162</v>
      </c>
      <c r="K224" t="s">
        <v>1804</v>
      </c>
      <c r="L224" t="s">
        <v>1805</v>
      </c>
    </row>
    <row r="225" spans="1:12">
      <c r="A225">
        <v>224</v>
      </c>
      <c r="B225" t="s">
        <v>452</v>
      </c>
      <c r="C225" t="s">
        <v>453</v>
      </c>
      <c r="D225" t="s">
        <v>928</v>
      </c>
      <c r="E225">
        <v>7.1705504838894703</v>
      </c>
      <c r="F225">
        <f t="shared" si="16"/>
        <v>14809843.999999912</v>
      </c>
      <c r="G225">
        <f t="shared" si="17"/>
        <v>17751514059.999866</v>
      </c>
      <c r="H225" s="10">
        <f t="shared" si="18"/>
        <v>0.93497766189274856</v>
      </c>
      <c r="I225" s="11">
        <f t="shared" si="19"/>
        <v>7.8003900226842812E-4</v>
      </c>
      <c r="J225" t="s">
        <v>1163</v>
      </c>
      <c r="K225" t="s">
        <v>1806</v>
      </c>
      <c r="L225" t="s">
        <v>1807</v>
      </c>
    </row>
    <row r="226" spans="1:12">
      <c r="A226">
        <v>225</v>
      </c>
      <c r="B226" t="s">
        <v>542</v>
      </c>
      <c r="C226" t="s">
        <v>543</v>
      </c>
      <c r="D226" t="s">
        <v>928</v>
      </c>
      <c r="E226">
        <v>7.1686636857374397</v>
      </c>
      <c r="F226">
        <f t="shared" si="16"/>
        <v>14745642.000000045</v>
      </c>
      <c r="G226">
        <f t="shared" si="17"/>
        <v>17766259701.999866</v>
      </c>
      <c r="H226" s="10">
        <f t="shared" si="18"/>
        <v>0.93575431935608766</v>
      </c>
      <c r="I226" s="11">
        <f t="shared" si="19"/>
        <v>7.7665746333908253E-4</v>
      </c>
      <c r="J226" t="s">
        <v>1164</v>
      </c>
      <c r="K226" t="s">
        <v>1808</v>
      </c>
      <c r="L226" t="s">
        <v>1809</v>
      </c>
    </row>
    <row r="227" spans="1:12">
      <c r="A227">
        <v>226</v>
      </c>
      <c r="B227" t="s">
        <v>494</v>
      </c>
      <c r="C227" t="s">
        <v>495</v>
      </c>
      <c r="D227" t="s">
        <v>928</v>
      </c>
      <c r="E227">
        <v>7.1603999750105496</v>
      </c>
      <c r="F227">
        <f t="shared" si="16"/>
        <v>14467715.999999991</v>
      </c>
      <c r="G227">
        <f t="shared" si="17"/>
        <v>17780727417.999866</v>
      </c>
      <c r="H227" s="10">
        <f t="shared" si="18"/>
        <v>0.93651633837220583</v>
      </c>
      <c r="I227" s="11">
        <f t="shared" si="19"/>
        <v>7.6201901611813283E-4</v>
      </c>
      <c r="J227" t="s">
        <v>1165</v>
      </c>
      <c r="K227" t="s">
        <v>1810</v>
      </c>
      <c r="L227" t="s">
        <v>1811</v>
      </c>
    </row>
    <row r="228" spans="1:12">
      <c r="A228">
        <v>227</v>
      </c>
      <c r="B228" t="s">
        <v>36</v>
      </c>
      <c r="C228" t="s">
        <v>37</v>
      </c>
      <c r="D228" t="s">
        <v>928</v>
      </c>
      <c r="E228">
        <v>7.15998092926423</v>
      </c>
      <c r="F228">
        <f t="shared" si="16"/>
        <v>14453763.00000002</v>
      </c>
      <c r="G228">
        <f t="shared" si="17"/>
        <v>17795181180.999866</v>
      </c>
      <c r="H228" s="10">
        <f t="shared" si="18"/>
        <v>0.93727762247955659</v>
      </c>
      <c r="I228" s="11">
        <f t="shared" si="19"/>
        <v>7.6128410735078677E-4</v>
      </c>
      <c r="J228" t="s">
        <v>1166</v>
      </c>
      <c r="K228" t="s">
        <v>1812</v>
      </c>
      <c r="L228" t="s">
        <v>1813</v>
      </c>
    </row>
    <row r="229" spans="1:12">
      <c r="A229">
        <v>228</v>
      </c>
      <c r="B229" t="s">
        <v>534</v>
      </c>
      <c r="C229" t="s">
        <v>535</v>
      </c>
      <c r="D229" t="s">
        <v>928</v>
      </c>
      <c r="E229">
        <v>7.1534056729022204</v>
      </c>
      <c r="F229">
        <f t="shared" si="16"/>
        <v>14236580</v>
      </c>
      <c r="G229">
        <f t="shared" si="17"/>
        <v>17809417760.999866</v>
      </c>
      <c r="H229" s="10">
        <f t="shared" si="18"/>
        <v>0.93802746749203036</v>
      </c>
      <c r="I229" s="11">
        <f t="shared" si="19"/>
        <v>7.4984501247377924E-4</v>
      </c>
      <c r="J229" t="s">
        <v>1167</v>
      </c>
      <c r="K229" t="s">
        <v>1814</v>
      </c>
      <c r="L229" t="s">
        <v>1815</v>
      </c>
    </row>
    <row r="230" spans="1:12">
      <c r="A230">
        <v>229</v>
      </c>
      <c r="B230" t="s">
        <v>438</v>
      </c>
      <c r="C230" t="s">
        <v>439</v>
      </c>
      <c r="D230" t="s">
        <v>928</v>
      </c>
      <c r="E230">
        <v>7.1514274050106401</v>
      </c>
      <c r="F230">
        <f t="shared" si="16"/>
        <v>14171877.99999998</v>
      </c>
      <c r="G230">
        <f t="shared" si="17"/>
        <v>17823589638.999866</v>
      </c>
      <c r="H230" s="10">
        <f t="shared" si="18"/>
        <v>0.93877390463042221</v>
      </c>
      <c r="I230" s="11">
        <f t="shared" si="19"/>
        <v>7.4643713839186532E-4</v>
      </c>
      <c r="J230" t="s">
        <v>1168</v>
      </c>
      <c r="K230" t="s">
        <v>1816</v>
      </c>
      <c r="L230" t="s">
        <v>1817</v>
      </c>
    </row>
    <row r="231" spans="1:12">
      <c r="A231">
        <v>230</v>
      </c>
      <c r="B231" t="s">
        <v>883</v>
      </c>
      <c r="C231" t="s">
        <v>884</v>
      </c>
      <c r="D231" t="s">
        <v>928</v>
      </c>
      <c r="E231">
        <v>7.15079584684376</v>
      </c>
      <c r="F231">
        <f t="shared" si="16"/>
        <v>14151283.999999925</v>
      </c>
      <c r="G231">
        <f t="shared" si="17"/>
        <v>17837740922.999866</v>
      </c>
      <c r="H231" s="10">
        <f t="shared" si="18"/>
        <v>0.93951925707655048</v>
      </c>
      <c r="I231" s="11">
        <f t="shared" si="19"/>
        <v>7.4535244612820883E-4</v>
      </c>
      <c r="J231" t="s">
        <v>1169</v>
      </c>
      <c r="K231" t="s">
        <v>1787</v>
      </c>
      <c r="L231" t="s">
        <v>1818</v>
      </c>
    </row>
    <row r="232" spans="1:12">
      <c r="A232">
        <v>231</v>
      </c>
      <c r="B232" t="s">
        <v>294</v>
      </c>
      <c r="C232" t="s">
        <v>295</v>
      </c>
      <c r="D232" t="s">
        <v>928</v>
      </c>
      <c r="E232">
        <v>7.1494478424414503</v>
      </c>
      <c r="F232">
        <f t="shared" si="16"/>
        <v>14107427.999999706</v>
      </c>
      <c r="G232">
        <f t="shared" si="17"/>
        <v>17851848350.999866</v>
      </c>
      <c r="H232" s="10">
        <f t="shared" si="18"/>
        <v>0.94026229961377727</v>
      </c>
      <c r="I232" s="11">
        <f t="shared" si="19"/>
        <v>7.4304253722682842E-4</v>
      </c>
      <c r="J232" t="s">
        <v>1170</v>
      </c>
      <c r="K232" t="s">
        <v>1819</v>
      </c>
      <c r="L232" t="s">
        <v>1820</v>
      </c>
    </row>
    <row r="233" spans="1:12">
      <c r="A233">
        <v>232</v>
      </c>
      <c r="B233" t="s">
        <v>620</v>
      </c>
      <c r="C233" t="s">
        <v>621</v>
      </c>
      <c r="D233" t="s">
        <v>928</v>
      </c>
      <c r="E233">
        <v>7.1411149710966804</v>
      </c>
      <c r="F233">
        <f t="shared" si="16"/>
        <v>13839326.999999911</v>
      </c>
      <c r="G233">
        <f t="shared" si="17"/>
        <v>17865687677.999866</v>
      </c>
      <c r="H233" s="10">
        <f t="shared" si="18"/>
        <v>0.94099122118953094</v>
      </c>
      <c r="I233" s="11">
        <f t="shared" si="19"/>
        <v>7.289215757537022E-4</v>
      </c>
      <c r="J233" t="s">
        <v>1171</v>
      </c>
      <c r="K233" t="s">
        <v>1821</v>
      </c>
      <c r="L233" t="s">
        <v>1822</v>
      </c>
    </row>
    <row r="234" spans="1:12">
      <c r="A234">
        <v>233</v>
      </c>
      <c r="B234" t="s">
        <v>258</v>
      </c>
      <c r="C234" t="s">
        <v>259</v>
      </c>
      <c r="D234" t="s">
        <v>928</v>
      </c>
      <c r="E234">
        <v>7.1402651221633597</v>
      </c>
      <c r="F234">
        <f t="shared" si="16"/>
        <v>13812271.99999978</v>
      </c>
      <c r="G234">
        <f t="shared" si="17"/>
        <v>17879499949.999866</v>
      </c>
      <c r="H234" s="10">
        <f t="shared" si="18"/>
        <v>0.94171871777017968</v>
      </c>
      <c r="I234" s="11">
        <f t="shared" si="19"/>
        <v>7.2749658064865763E-4</v>
      </c>
      <c r="J234" t="s">
        <v>1172</v>
      </c>
      <c r="K234" t="s">
        <v>1823</v>
      </c>
      <c r="L234" t="s">
        <v>1824</v>
      </c>
    </row>
    <row r="235" spans="1:12">
      <c r="A235">
        <v>234</v>
      </c>
      <c r="B235" t="s">
        <v>324</v>
      </c>
      <c r="C235" t="s">
        <v>325</v>
      </c>
      <c r="D235" t="s">
        <v>928</v>
      </c>
      <c r="E235">
        <v>7.1327267212497096</v>
      </c>
      <c r="F235">
        <f t="shared" si="16"/>
        <v>13574589.999999747</v>
      </c>
      <c r="G235">
        <f t="shared" si="17"/>
        <v>17893074539.999866</v>
      </c>
      <c r="H235" s="10">
        <f t="shared" si="18"/>
        <v>0.94243369556736667</v>
      </c>
      <c r="I235" s="11">
        <f t="shared" si="19"/>
        <v>7.1497779718698233E-4</v>
      </c>
      <c r="J235" t="s">
        <v>1173</v>
      </c>
      <c r="K235" t="s">
        <v>1825</v>
      </c>
      <c r="L235" t="s">
        <v>1826</v>
      </c>
    </row>
    <row r="236" spans="1:12">
      <c r="A236">
        <v>235</v>
      </c>
      <c r="B236" t="s">
        <v>454</v>
      </c>
      <c r="C236" t="s">
        <v>455</v>
      </c>
      <c r="D236" t="s">
        <v>928</v>
      </c>
      <c r="E236">
        <v>7.1315590008908796</v>
      </c>
      <c r="F236">
        <f t="shared" si="16"/>
        <v>13538139.999999976</v>
      </c>
      <c r="G236">
        <f t="shared" si="17"/>
        <v>17906612679.999866</v>
      </c>
      <c r="H236" s="10">
        <f t="shared" si="18"/>
        <v>0.943146753531932</v>
      </c>
      <c r="I236" s="11">
        <f t="shared" si="19"/>
        <v>7.1305796456534861E-4</v>
      </c>
      <c r="J236" t="s">
        <v>1174</v>
      </c>
      <c r="K236" t="s">
        <v>1827</v>
      </c>
      <c r="L236" t="s">
        <v>1828</v>
      </c>
    </row>
    <row r="237" spans="1:12">
      <c r="A237">
        <v>236</v>
      </c>
      <c r="B237" t="s">
        <v>272</v>
      </c>
      <c r="C237" t="s">
        <v>273</v>
      </c>
      <c r="D237" t="s">
        <v>928</v>
      </c>
      <c r="E237">
        <v>7.1296684991252199</v>
      </c>
      <c r="F237">
        <f t="shared" si="16"/>
        <v>13479335.999999871</v>
      </c>
      <c r="G237">
        <f t="shared" si="17"/>
        <v>17920092015.999866</v>
      </c>
      <c r="H237" s="10">
        <f t="shared" si="18"/>
        <v>0.94385671427187501</v>
      </c>
      <c r="I237" s="11">
        <f t="shared" si="19"/>
        <v>7.0996073994303158E-4</v>
      </c>
      <c r="J237" t="s">
        <v>1175</v>
      </c>
      <c r="K237" t="s">
        <v>1829</v>
      </c>
      <c r="L237" t="s">
        <v>1830</v>
      </c>
    </row>
    <row r="238" spans="1:12">
      <c r="A238">
        <v>237</v>
      </c>
      <c r="B238" t="s">
        <v>614</v>
      </c>
      <c r="C238" t="s">
        <v>615</v>
      </c>
      <c r="D238" t="s">
        <v>928</v>
      </c>
      <c r="E238">
        <v>7.1237558897041096</v>
      </c>
      <c r="F238">
        <f t="shared" si="16"/>
        <v>13297067.999999702</v>
      </c>
      <c r="G238">
        <f t="shared" si="17"/>
        <v>17933389083.999866</v>
      </c>
      <c r="H238" s="10">
        <f t="shared" si="18"/>
        <v>0.94455707490064433</v>
      </c>
      <c r="I238" s="11">
        <f t="shared" si="19"/>
        <v>7.0036062876930184E-4</v>
      </c>
      <c r="J238" t="s">
        <v>1176</v>
      </c>
      <c r="K238" t="s">
        <v>1831</v>
      </c>
      <c r="L238" t="s">
        <v>1832</v>
      </c>
    </row>
    <row r="239" spans="1:12">
      <c r="A239">
        <v>238</v>
      </c>
      <c r="B239" t="s">
        <v>893</v>
      </c>
      <c r="C239" t="s">
        <v>894</v>
      </c>
      <c r="D239" t="s">
        <v>928</v>
      </c>
      <c r="E239">
        <v>7.12230351497307</v>
      </c>
      <c r="F239">
        <f t="shared" si="16"/>
        <v>13252673.999999888</v>
      </c>
      <c r="G239">
        <f t="shared" si="17"/>
        <v>17946641757.999866</v>
      </c>
      <c r="H239" s="10">
        <f t="shared" si="18"/>
        <v>0.94525509728388812</v>
      </c>
      <c r="I239" s="11">
        <f t="shared" si="19"/>
        <v>6.9802238324378791E-4</v>
      </c>
      <c r="J239" t="s">
        <v>1177</v>
      </c>
      <c r="K239" t="s">
        <v>1833</v>
      </c>
      <c r="L239" t="s">
        <v>1834</v>
      </c>
    </row>
    <row r="240" spans="1:12">
      <c r="A240">
        <v>239</v>
      </c>
      <c r="B240" t="s">
        <v>320</v>
      </c>
      <c r="C240" t="s">
        <v>321</v>
      </c>
      <c r="D240" t="s">
        <v>928</v>
      </c>
      <c r="E240">
        <v>7.1103437424499996</v>
      </c>
      <c r="F240">
        <f t="shared" si="16"/>
        <v>12892695.999999728</v>
      </c>
      <c r="G240">
        <f t="shared" si="17"/>
        <v>17959534453.999866</v>
      </c>
      <c r="H240" s="10">
        <f t="shared" si="18"/>
        <v>0.94593415951603521</v>
      </c>
      <c r="I240" s="11">
        <f t="shared" si="19"/>
        <v>6.7906223214707741E-4</v>
      </c>
      <c r="J240" s="12" t="s">
        <v>1178</v>
      </c>
      <c r="K240" t="s">
        <v>1835</v>
      </c>
      <c r="L240" t="s">
        <v>1836</v>
      </c>
    </row>
    <row r="241" spans="1:12">
      <c r="A241">
        <v>240</v>
      </c>
      <c r="B241" t="s">
        <v>82</v>
      </c>
      <c r="C241" t="s">
        <v>83</v>
      </c>
      <c r="D241" t="s">
        <v>928</v>
      </c>
      <c r="E241">
        <v>7.1083828118317003</v>
      </c>
      <c r="F241">
        <f t="shared" si="16"/>
        <v>12834613.999999853</v>
      </c>
      <c r="G241">
        <f t="shared" si="17"/>
        <v>17972369067.999866</v>
      </c>
      <c r="H241" s="10">
        <f t="shared" si="18"/>
        <v>0.94661016255152031</v>
      </c>
      <c r="I241" s="11">
        <f t="shared" si="19"/>
        <v>6.7600303548506953E-4</v>
      </c>
      <c r="J241" t="s">
        <v>1179</v>
      </c>
      <c r="K241" t="s">
        <v>1837</v>
      </c>
      <c r="L241" t="s">
        <v>1838</v>
      </c>
    </row>
    <row r="242" spans="1:12">
      <c r="A242">
        <v>241</v>
      </c>
      <c r="B242" t="s">
        <v>770</v>
      </c>
      <c r="C242" t="s">
        <v>771</v>
      </c>
      <c r="D242" t="s">
        <v>928</v>
      </c>
      <c r="E242">
        <v>7.1070412066701403</v>
      </c>
      <c r="F242">
        <f t="shared" si="16"/>
        <v>12795026.999999827</v>
      </c>
      <c r="G242">
        <f t="shared" si="17"/>
        <v>17985164094.999866</v>
      </c>
      <c r="H242" s="10">
        <f t="shared" si="18"/>
        <v>0.94728408052763657</v>
      </c>
      <c r="I242" s="11">
        <f t="shared" si="19"/>
        <v>6.7391797611625912E-4</v>
      </c>
      <c r="J242" t="s">
        <v>1180</v>
      </c>
      <c r="K242" t="s">
        <v>1839</v>
      </c>
      <c r="L242" t="s">
        <v>1840</v>
      </c>
    </row>
    <row r="243" spans="1:12">
      <c r="A243">
        <v>242</v>
      </c>
      <c r="B243" t="s">
        <v>192</v>
      </c>
      <c r="C243" t="s">
        <v>193</v>
      </c>
      <c r="D243" t="s">
        <v>928</v>
      </c>
      <c r="E243">
        <v>7.1058026134337204</v>
      </c>
      <c r="F243">
        <f t="shared" si="16"/>
        <v>12758587.999999918</v>
      </c>
      <c r="G243">
        <f t="shared" si="17"/>
        <v>17997922682.999866</v>
      </c>
      <c r="H243" s="10">
        <f t="shared" si="18"/>
        <v>0.94795607925050451</v>
      </c>
      <c r="I243" s="11">
        <f t="shared" si="19"/>
        <v>6.719987228679745E-4</v>
      </c>
      <c r="J243" t="s">
        <v>1181</v>
      </c>
      <c r="K243" t="s">
        <v>1841</v>
      </c>
      <c r="L243" t="s">
        <v>1842</v>
      </c>
    </row>
    <row r="244" spans="1:12">
      <c r="A244">
        <v>243</v>
      </c>
      <c r="B244" t="s">
        <v>490</v>
      </c>
      <c r="C244" t="s">
        <v>491</v>
      </c>
      <c r="D244" t="s">
        <v>928</v>
      </c>
      <c r="E244">
        <v>7.1053293784469602</v>
      </c>
      <c r="F244">
        <f t="shared" si="16"/>
        <v>12744692.999999775</v>
      </c>
      <c r="G244">
        <f t="shared" si="17"/>
        <v>18010667375.999866</v>
      </c>
      <c r="H244" s="10">
        <f t="shared" si="18"/>
        <v>0.94862734611948285</v>
      </c>
      <c r="I244" s="11">
        <f t="shared" si="19"/>
        <v>6.7126686897831629E-4</v>
      </c>
      <c r="J244" t="s">
        <v>1182</v>
      </c>
      <c r="K244" t="s">
        <v>1843</v>
      </c>
      <c r="L244" t="s">
        <v>1844</v>
      </c>
    </row>
    <row r="245" spans="1:12">
      <c r="A245">
        <v>244</v>
      </c>
      <c r="B245" t="s">
        <v>502</v>
      </c>
      <c r="C245" t="s">
        <v>503</v>
      </c>
      <c r="D245" t="s">
        <v>928</v>
      </c>
      <c r="E245">
        <v>7.0979487140823396</v>
      </c>
      <c r="F245">
        <f t="shared" si="16"/>
        <v>12529931.999999845</v>
      </c>
      <c r="G245">
        <f t="shared" si="17"/>
        <v>18023197307.999866</v>
      </c>
      <c r="H245" s="10">
        <f t="shared" si="18"/>
        <v>0.94928730146106322</v>
      </c>
      <c r="I245" s="11">
        <f t="shared" si="19"/>
        <v>6.5995534158031562E-4</v>
      </c>
      <c r="J245" t="s">
        <v>1183</v>
      </c>
      <c r="K245" t="s">
        <v>1419</v>
      </c>
      <c r="L245" t="s">
        <v>1845</v>
      </c>
    </row>
    <row r="246" spans="1:12">
      <c r="A246">
        <v>245</v>
      </c>
      <c r="B246" t="s">
        <v>136</v>
      </c>
      <c r="C246" t="s">
        <v>137</v>
      </c>
      <c r="D246" t="s">
        <v>928</v>
      </c>
      <c r="E246">
        <v>7.0976024210270401</v>
      </c>
      <c r="F246">
        <f t="shared" si="16"/>
        <v>12519944.99999976</v>
      </c>
      <c r="G246">
        <f t="shared" si="17"/>
        <v>18035717252.999866</v>
      </c>
      <c r="H246" s="10">
        <f t="shared" si="18"/>
        <v>0.94994673078430625</v>
      </c>
      <c r="I246" s="11">
        <f t="shared" si="19"/>
        <v>6.5942932324307164E-4</v>
      </c>
      <c r="J246" t="s">
        <v>1184</v>
      </c>
      <c r="K246" t="s">
        <v>1846</v>
      </c>
      <c r="L246" t="s">
        <v>1847</v>
      </c>
    </row>
    <row r="247" spans="1:12">
      <c r="A247">
        <v>246</v>
      </c>
      <c r="B247" t="s">
        <v>776</v>
      </c>
      <c r="C247" t="s">
        <v>777</v>
      </c>
      <c r="D247" t="s">
        <v>928</v>
      </c>
      <c r="E247">
        <v>7.0912314954004803</v>
      </c>
      <c r="F247">
        <f t="shared" si="16"/>
        <v>12337622.999999763</v>
      </c>
      <c r="G247">
        <f t="shared" si="17"/>
        <v>18048054875.999866</v>
      </c>
      <c r="H247" s="10">
        <f t="shared" si="18"/>
        <v>0.95059655715217917</v>
      </c>
      <c r="I247" s="11">
        <f t="shared" si="19"/>
        <v>6.4982636787287446E-4</v>
      </c>
      <c r="J247" t="s">
        <v>1185</v>
      </c>
      <c r="K247" t="s">
        <v>1510</v>
      </c>
      <c r="L247" t="s">
        <v>1848</v>
      </c>
    </row>
    <row r="248" spans="1:12">
      <c r="A248">
        <v>247</v>
      </c>
      <c r="B248" t="s">
        <v>196</v>
      </c>
      <c r="C248" t="s">
        <v>197</v>
      </c>
      <c r="D248" t="s">
        <v>928</v>
      </c>
      <c r="E248">
        <v>7.0845343119790902</v>
      </c>
      <c r="F248">
        <f t="shared" si="16"/>
        <v>12148825.999999994</v>
      </c>
      <c r="G248">
        <f t="shared" si="17"/>
        <v>18060203701.999866</v>
      </c>
      <c r="H248" s="10">
        <f t="shared" si="18"/>
        <v>0.95123643952445625</v>
      </c>
      <c r="I248" s="11">
        <f t="shared" si="19"/>
        <v>6.3988237227703346E-4</v>
      </c>
      <c r="J248" t="s">
        <v>1186</v>
      </c>
      <c r="K248" t="s">
        <v>1849</v>
      </c>
      <c r="L248" t="s">
        <v>1850</v>
      </c>
    </row>
    <row r="249" spans="1:12">
      <c r="A249">
        <v>248</v>
      </c>
      <c r="B249" t="s">
        <v>20</v>
      </c>
      <c r="C249" t="s">
        <v>21</v>
      </c>
      <c r="D249" t="s">
        <v>928</v>
      </c>
      <c r="E249">
        <v>7.0660198729288402</v>
      </c>
      <c r="F249">
        <f t="shared" si="16"/>
        <v>11641792.999999784</v>
      </c>
      <c r="G249">
        <f t="shared" si="17"/>
        <v>18071845494.999866</v>
      </c>
      <c r="H249" s="10">
        <f t="shared" si="18"/>
        <v>0.95184961631391707</v>
      </c>
      <c r="I249" s="11">
        <f t="shared" si="19"/>
        <v>6.1317678946081107E-4</v>
      </c>
      <c r="J249" t="s">
        <v>1187</v>
      </c>
      <c r="K249" t="s">
        <v>1851</v>
      </c>
      <c r="L249" t="s">
        <v>1852</v>
      </c>
    </row>
    <row r="250" spans="1:12">
      <c r="A250">
        <v>249</v>
      </c>
      <c r="B250" t="s">
        <v>290</v>
      </c>
      <c r="C250" t="s">
        <v>291</v>
      </c>
      <c r="D250" t="s">
        <v>928</v>
      </c>
      <c r="E250">
        <v>7.06186998518496</v>
      </c>
      <c r="F250">
        <f t="shared" si="16"/>
        <v>11531079.999999959</v>
      </c>
      <c r="G250">
        <f t="shared" si="17"/>
        <v>18083376574.999866</v>
      </c>
      <c r="H250" s="10">
        <f t="shared" si="18"/>
        <v>0.95245696181588702</v>
      </c>
      <c r="I250" s="11">
        <f t="shared" si="19"/>
        <v>6.0734550197000367E-4</v>
      </c>
      <c r="J250" t="s">
        <v>1188</v>
      </c>
      <c r="K250" t="s">
        <v>1510</v>
      </c>
      <c r="L250" t="s">
        <v>1853</v>
      </c>
    </row>
    <row r="251" spans="1:12">
      <c r="A251">
        <v>250</v>
      </c>
      <c r="B251" t="s">
        <v>234</v>
      </c>
      <c r="C251" t="s">
        <v>235</v>
      </c>
      <c r="D251" t="s">
        <v>928</v>
      </c>
      <c r="E251">
        <v>7.0575178404358798</v>
      </c>
      <c r="F251">
        <f t="shared" si="16"/>
        <v>11416101.999999814</v>
      </c>
      <c r="G251">
        <f t="shared" si="17"/>
        <v>18094792676.999866</v>
      </c>
      <c r="H251" s="10">
        <f t="shared" si="18"/>
        <v>0.9530582513915149</v>
      </c>
      <c r="I251" s="11">
        <f t="shared" si="19"/>
        <v>6.0128957562784007E-4</v>
      </c>
      <c r="J251" t="s">
        <v>1189</v>
      </c>
      <c r="K251" t="s">
        <v>1854</v>
      </c>
      <c r="L251" t="s">
        <v>1855</v>
      </c>
    </row>
    <row r="252" spans="1:12">
      <c r="A252">
        <v>251</v>
      </c>
      <c r="B252" t="s">
        <v>668</v>
      </c>
      <c r="C252" t="s">
        <v>669</v>
      </c>
      <c r="D252" t="s">
        <v>928</v>
      </c>
      <c r="E252">
        <v>7.0483251343629396</v>
      </c>
      <c r="F252">
        <f t="shared" si="16"/>
        <v>11176996.999999858</v>
      </c>
      <c r="G252">
        <f t="shared" si="17"/>
        <v>18105969673.999866</v>
      </c>
      <c r="H252" s="10">
        <f t="shared" si="18"/>
        <v>0.95364694723383692</v>
      </c>
      <c r="I252" s="11">
        <f t="shared" si="19"/>
        <v>5.8869584232198232E-4</v>
      </c>
      <c r="J252" s="12" t="s">
        <v>1190</v>
      </c>
      <c r="K252" t="s">
        <v>1856</v>
      </c>
      <c r="L252" t="s">
        <v>1857</v>
      </c>
    </row>
    <row r="253" spans="1:12">
      <c r="A253">
        <v>252</v>
      </c>
      <c r="B253" t="s">
        <v>790</v>
      </c>
      <c r="C253" t="s">
        <v>791</v>
      </c>
      <c r="D253" t="s">
        <v>928</v>
      </c>
      <c r="E253">
        <v>7.0475250112735699</v>
      </c>
      <c r="F253">
        <f t="shared" si="16"/>
        <v>11156424.000000013</v>
      </c>
      <c r="G253">
        <f t="shared" si="17"/>
        <v>18117126097.999866</v>
      </c>
      <c r="H253" s="10">
        <f t="shared" si="18"/>
        <v>0.9542345594899716</v>
      </c>
      <c r="I253" s="11">
        <f t="shared" si="19"/>
        <v>5.8761225613474443E-4</v>
      </c>
      <c r="J253" t="s">
        <v>1191</v>
      </c>
      <c r="K253" t="s">
        <v>1858</v>
      </c>
      <c r="L253" t="s">
        <v>1859</v>
      </c>
    </row>
    <row r="254" spans="1:12">
      <c r="A254">
        <v>253</v>
      </c>
      <c r="B254" t="s">
        <v>414</v>
      </c>
      <c r="C254" t="s">
        <v>415</v>
      </c>
      <c r="D254" t="s">
        <v>928</v>
      </c>
      <c r="E254">
        <v>7.0457638963570401</v>
      </c>
      <c r="F254">
        <f t="shared" si="16"/>
        <v>11111275.000000009</v>
      </c>
      <c r="G254">
        <f t="shared" si="17"/>
        <v>18128237372.999866</v>
      </c>
      <c r="H254" s="10">
        <f t="shared" si="18"/>
        <v>0.95481979373450043</v>
      </c>
      <c r="I254" s="11">
        <f t="shared" si="19"/>
        <v>5.8523424452885443E-4</v>
      </c>
      <c r="J254" t="s">
        <v>1192</v>
      </c>
      <c r="K254" t="s">
        <v>1860</v>
      </c>
      <c r="L254" t="s">
        <v>1861</v>
      </c>
    </row>
    <row r="255" spans="1:12">
      <c r="A255">
        <v>254</v>
      </c>
      <c r="B255" t="s">
        <v>34</v>
      </c>
      <c r="C255" t="s">
        <v>35</v>
      </c>
      <c r="D255" t="s">
        <v>928</v>
      </c>
      <c r="E255">
        <v>7.0428659948985404</v>
      </c>
      <c r="F255">
        <f t="shared" si="16"/>
        <v>11037379.999999849</v>
      </c>
      <c r="G255">
        <f t="shared" si="17"/>
        <v>18139274752.999866</v>
      </c>
      <c r="H255" s="10">
        <f t="shared" si="18"/>
        <v>0.95540113590683251</v>
      </c>
      <c r="I255" s="11">
        <f t="shared" si="19"/>
        <v>5.8134217233195946E-4</v>
      </c>
      <c r="J255" t="s">
        <v>1193</v>
      </c>
      <c r="K255" t="s">
        <v>1862</v>
      </c>
      <c r="L255" t="s">
        <v>1863</v>
      </c>
    </row>
    <row r="256" spans="1:12">
      <c r="A256">
        <v>255</v>
      </c>
      <c r="B256" t="s">
        <v>634</v>
      </c>
      <c r="C256" t="s">
        <v>635</v>
      </c>
      <c r="D256" t="s">
        <v>928</v>
      </c>
      <c r="E256">
        <v>7.04135809814772</v>
      </c>
      <c r="F256">
        <f t="shared" si="16"/>
        <v>10999123.999999799</v>
      </c>
      <c r="G256">
        <f t="shared" si="17"/>
        <v>18150273876.999866</v>
      </c>
      <c r="H256" s="10">
        <f t="shared" si="18"/>
        <v>0.95598046312397178</v>
      </c>
      <c r="I256" s="11">
        <f t="shared" si="19"/>
        <v>5.7932721713926331E-4</v>
      </c>
      <c r="J256" t="s">
        <v>1194</v>
      </c>
      <c r="K256" t="s">
        <v>1864</v>
      </c>
      <c r="L256" t="s">
        <v>1865</v>
      </c>
    </row>
    <row r="257" spans="1:12">
      <c r="A257">
        <v>256</v>
      </c>
      <c r="B257" t="s">
        <v>889</v>
      </c>
      <c r="C257" t="s">
        <v>890</v>
      </c>
      <c r="D257" t="s">
        <v>928</v>
      </c>
      <c r="E257">
        <v>7.0310160079649702</v>
      </c>
      <c r="F257">
        <f t="shared" si="16"/>
        <v>10740289.999999994</v>
      </c>
      <c r="G257">
        <f t="shared" si="17"/>
        <v>18161014166.999866</v>
      </c>
      <c r="H257" s="10">
        <f t="shared" si="18"/>
        <v>0.95654615747535543</v>
      </c>
      <c r="I257" s="11">
        <f t="shared" si="19"/>
        <v>5.6569435138368923E-4</v>
      </c>
      <c r="J257" t="s">
        <v>1195</v>
      </c>
      <c r="K257" t="s">
        <v>1866</v>
      </c>
      <c r="L257" t="s">
        <v>1867</v>
      </c>
    </row>
    <row r="258" spans="1:12">
      <c r="A258">
        <v>257</v>
      </c>
      <c r="B258" t="s">
        <v>550</v>
      </c>
      <c r="C258" t="s">
        <v>551</v>
      </c>
      <c r="D258" t="s">
        <v>928</v>
      </c>
      <c r="E258">
        <v>7.01846415154517</v>
      </c>
      <c r="F258">
        <f t="shared" si="16"/>
        <v>10434319.999999795</v>
      </c>
      <c r="G258">
        <f t="shared" si="17"/>
        <v>18171448486.999866</v>
      </c>
      <c r="H258" s="10">
        <f t="shared" si="18"/>
        <v>0.95709573629348133</v>
      </c>
      <c r="I258" s="11">
        <f t="shared" si="19"/>
        <v>5.4957881812592985E-4</v>
      </c>
      <c r="J258" t="s">
        <v>1196</v>
      </c>
      <c r="K258" t="s">
        <v>1417</v>
      </c>
      <c r="L258" t="s">
        <v>1868</v>
      </c>
    </row>
    <row r="259" spans="1:12">
      <c r="A259">
        <v>258</v>
      </c>
      <c r="B259" t="s">
        <v>496</v>
      </c>
      <c r="C259" t="s">
        <v>497</v>
      </c>
      <c r="D259" t="s">
        <v>928</v>
      </c>
      <c r="E259">
        <v>7.01597521240235</v>
      </c>
      <c r="F259">
        <f t="shared" si="16"/>
        <v>10374691.999999991</v>
      </c>
      <c r="G259">
        <f t="shared" si="17"/>
        <v>18181823178.999866</v>
      </c>
      <c r="H259" s="10">
        <f t="shared" si="18"/>
        <v>0.95764217448665356</v>
      </c>
      <c r="I259" s="11">
        <f t="shared" si="19"/>
        <v>5.4643819317220924E-4</v>
      </c>
      <c r="J259" t="s">
        <v>1197</v>
      </c>
      <c r="K259" t="s">
        <v>1869</v>
      </c>
      <c r="L259" t="s">
        <v>1870</v>
      </c>
    </row>
    <row r="260" spans="1:12">
      <c r="A260">
        <v>259</v>
      </c>
      <c r="B260" t="s">
        <v>408</v>
      </c>
      <c r="C260" t="s">
        <v>409</v>
      </c>
      <c r="D260" t="s">
        <v>928</v>
      </c>
      <c r="E260">
        <v>7.0080824567809996</v>
      </c>
      <c r="F260">
        <f t="shared" si="16"/>
        <v>10187847.999999845</v>
      </c>
      <c r="G260">
        <f t="shared" si="17"/>
        <v>18192011026.999866</v>
      </c>
      <c r="H260" s="10">
        <f t="shared" si="18"/>
        <v>0.95817877154933584</v>
      </c>
      <c r="I260" s="11">
        <f t="shared" si="19"/>
        <v>5.3659706268224881E-4</v>
      </c>
      <c r="J260" t="s">
        <v>1198</v>
      </c>
      <c r="K260" t="s">
        <v>1751</v>
      </c>
      <c r="L260" t="s">
        <v>1871</v>
      </c>
    </row>
    <row r="261" spans="1:12">
      <c r="A261">
        <v>260</v>
      </c>
      <c r="B261" t="s">
        <v>764</v>
      </c>
      <c r="C261" t="s">
        <v>765</v>
      </c>
      <c r="D261" t="s">
        <v>928</v>
      </c>
      <c r="E261">
        <v>7.0020172093650501</v>
      </c>
      <c r="F261">
        <f t="shared" si="16"/>
        <v>10046555.999999976</v>
      </c>
      <c r="G261">
        <f t="shared" si="17"/>
        <v>18202057582.999866</v>
      </c>
      <c r="H261" s="10">
        <f t="shared" si="18"/>
        <v>0.95870792671926697</v>
      </c>
      <c r="I261" s="11">
        <f t="shared" si="19"/>
        <v>5.291551699311564E-4</v>
      </c>
      <c r="J261" t="s">
        <v>1199</v>
      </c>
      <c r="K261" t="s">
        <v>1872</v>
      </c>
      <c r="L261" t="s">
        <v>1873</v>
      </c>
    </row>
    <row r="262" spans="1:12">
      <c r="A262">
        <v>261</v>
      </c>
      <c r="B262" t="s">
        <v>266</v>
      </c>
      <c r="C262" t="s">
        <v>267</v>
      </c>
      <c r="D262" t="s">
        <v>928</v>
      </c>
      <c r="E262">
        <v>6.9983106571390303</v>
      </c>
      <c r="F262">
        <f t="shared" si="16"/>
        <v>9961176.9999999572</v>
      </c>
      <c r="G262">
        <f t="shared" si="17"/>
        <v>18212018759.999866</v>
      </c>
      <c r="H262" s="10">
        <f t="shared" si="18"/>
        <v>0.95923258495121722</v>
      </c>
      <c r="I262" s="11">
        <f t="shared" si="19"/>
        <v>5.2465823195026401E-4</v>
      </c>
      <c r="J262" t="s">
        <v>1200</v>
      </c>
      <c r="K262" t="s">
        <v>1874</v>
      </c>
      <c r="L262" t="s">
        <v>1875</v>
      </c>
    </row>
    <row r="263" spans="1:12">
      <c r="A263">
        <v>262</v>
      </c>
      <c r="B263" t="s">
        <v>52</v>
      </c>
      <c r="C263" t="s">
        <v>53</v>
      </c>
      <c r="D263" t="s">
        <v>928</v>
      </c>
      <c r="E263">
        <v>6.9977379594154998</v>
      </c>
      <c r="F263">
        <f t="shared" si="16"/>
        <v>9948049.9999999702</v>
      </c>
      <c r="G263">
        <f t="shared" si="17"/>
        <v>18221966809.999866</v>
      </c>
      <c r="H263" s="10">
        <f t="shared" si="18"/>
        <v>0.95975655178007224</v>
      </c>
      <c r="I263" s="11">
        <f t="shared" si="19"/>
        <v>5.2396682885494665E-4</v>
      </c>
      <c r="J263" t="s">
        <v>1201</v>
      </c>
      <c r="K263" t="s">
        <v>1510</v>
      </c>
      <c r="L263" t="s">
        <v>1876</v>
      </c>
    </row>
    <row r="264" spans="1:12">
      <c r="A264">
        <v>263</v>
      </c>
      <c r="B264" t="s">
        <v>420</v>
      </c>
      <c r="C264" t="s">
        <v>421</v>
      </c>
      <c r="D264" t="s">
        <v>928</v>
      </c>
      <c r="E264">
        <v>6.9817285236132296</v>
      </c>
      <c r="F264">
        <f t="shared" si="16"/>
        <v>9588010.9999997914</v>
      </c>
      <c r="G264">
        <f t="shared" si="17"/>
        <v>18231554820.999866</v>
      </c>
      <c r="H264" s="10">
        <f t="shared" si="18"/>
        <v>0.96026155524494183</v>
      </c>
      <c r="I264" s="11">
        <f t="shared" si="19"/>
        <v>5.050034648696229E-4</v>
      </c>
      <c r="J264" t="s">
        <v>1202</v>
      </c>
      <c r="K264" t="s">
        <v>1510</v>
      </c>
      <c r="L264" t="s">
        <v>1877</v>
      </c>
    </row>
    <row r="265" spans="1:12">
      <c r="A265">
        <v>264</v>
      </c>
      <c r="B265" t="s">
        <v>350</v>
      </c>
      <c r="C265" t="s">
        <v>351</v>
      </c>
      <c r="D265" t="s">
        <v>928</v>
      </c>
      <c r="E265">
        <v>6.9717606793820801</v>
      </c>
      <c r="F265">
        <f t="shared" ref="F265:F328" si="20">POWER(10,E265)</f>
        <v>9370454.9999998789</v>
      </c>
      <c r="G265">
        <f t="shared" ref="G265:G328" si="21">SUM(F265,G264)</f>
        <v>18240925275.999866</v>
      </c>
      <c r="H265" s="10">
        <f t="shared" ref="H265:H328" si="22">G265/$F$1</f>
        <v>0.96075509996891062</v>
      </c>
      <c r="I265" s="11">
        <f t="shared" ref="I265:I328" si="23">F265/F$1</f>
        <v>4.9354472396881106E-4</v>
      </c>
      <c r="J265" t="s">
        <v>1203</v>
      </c>
      <c r="K265" t="s">
        <v>1878</v>
      </c>
      <c r="L265" t="s">
        <v>1879</v>
      </c>
    </row>
    <row r="266" spans="1:12">
      <c r="A266">
        <v>265</v>
      </c>
      <c r="B266" t="s">
        <v>903</v>
      </c>
      <c r="C266" t="s">
        <v>904</v>
      </c>
      <c r="D266" t="s">
        <v>928</v>
      </c>
      <c r="E266">
        <v>6.9634500792935796</v>
      </c>
      <c r="F266">
        <f t="shared" si="20"/>
        <v>9192847.9999999534</v>
      </c>
      <c r="G266">
        <f t="shared" si="21"/>
        <v>18250118123.999866</v>
      </c>
      <c r="H266" s="10">
        <f t="shared" si="22"/>
        <v>0.96123929007799791</v>
      </c>
      <c r="I266" s="11">
        <f t="shared" si="23"/>
        <v>4.8419010908726121E-4</v>
      </c>
      <c r="J266" t="s">
        <v>1204</v>
      </c>
      <c r="K266" t="s">
        <v>1880</v>
      </c>
      <c r="L266" t="s">
        <v>1881</v>
      </c>
    </row>
    <row r="267" spans="1:12">
      <c r="A267">
        <v>266</v>
      </c>
      <c r="B267" t="s">
        <v>144</v>
      </c>
      <c r="C267" t="s">
        <v>145</v>
      </c>
      <c r="D267" t="s">
        <v>928</v>
      </c>
      <c r="E267">
        <v>6.96005702560758</v>
      </c>
      <c r="F267">
        <f t="shared" si="20"/>
        <v>9121305.9999998491</v>
      </c>
      <c r="G267">
        <f t="shared" si="21"/>
        <v>18259239429.999866</v>
      </c>
      <c r="H267" s="10">
        <f t="shared" si="22"/>
        <v>0.96171971204811624</v>
      </c>
      <c r="I267" s="11">
        <f t="shared" si="23"/>
        <v>4.8042197011831801E-4</v>
      </c>
      <c r="J267" t="s">
        <v>1205</v>
      </c>
      <c r="K267" t="s">
        <v>1882</v>
      </c>
      <c r="L267" t="s">
        <v>1883</v>
      </c>
    </row>
    <row r="268" spans="1:12">
      <c r="A268">
        <v>267</v>
      </c>
      <c r="B268" t="s">
        <v>24</v>
      </c>
      <c r="C268" t="s">
        <v>25</v>
      </c>
      <c r="D268" t="s">
        <v>928</v>
      </c>
      <c r="E268">
        <v>6.9600452173757601</v>
      </c>
      <c r="F268">
        <f t="shared" si="20"/>
        <v>9121057.999999823</v>
      </c>
      <c r="G268">
        <f t="shared" si="21"/>
        <v>18268360487.999866</v>
      </c>
      <c r="H268" s="10">
        <f t="shared" si="22"/>
        <v>0.96220012095599894</v>
      </c>
      <c r="I268" s="11">
        <f t="shared" si="23"/>
        <v>4.804089078826467E-4</v>
      </c>
      <c r="J268" t="s">
        <v>1206</v>
      </c>
      <c r="K268" t="s">
        <v>1510</v>
      </c>
      <c r="L268" t="s">
        <v>1884</v>
      </c>
    </row>
    <row r="269" spans="1:12">
      <c r="A269">
        <v>268</v>
      </c>
      <c r="B269" t="s">
        <v>744</v>
      </c>
      <c r="C269" t="s">
        <v>745</v>
      </c>
      <c r="D269" t="s">
        <v>928</v>
      </c>
      <c r="E269">
        <v>6.9579911352122998</v>
      </c>
      <c r="F269">
        <f t="shared" si="20"/>
        <v>9078019.9999999721</v>
      </c>
      <c r="G269">
        <f t="shared" si="21"/>
        <v>18277438507.999866</v>
      </c>
      <c r="H269" s="10">
        <f t="shared" si="22"/>
        <v>0.96267826303928972</v>
      </c>
      <c r="I269" s="11">
        <f t="shared" si="23"/>
        <v>4.7814208329087434E-4</v>
      </c>
      <c r="J269" t="s">
        <v>1207</v>
      </c>
      <c r="K269" t="s">
        <v>1662</v>
      </c>
      <c r="L269" t="s">
        <v>1885</v>
      </c>
    </row>
    <row r="270" spans="1:12">
      <c r="A270">
        <v>269</v>
      </c>
      <c r="B270" t="s">
        <v>184</v>
      </c>
      <c r="C270" t="s">
        <v>185</v>
      </c>
      <c r="D270" t="s">
        <v>928</v>
      </c>
      <c r="E270">
        <v>6.9568045133144203</v>
      </c>
      <c r="F270">
        <f t="shared" si="20"/>
        <v>9053249.9999999832</v>
      </c>
      <c r="G270">
        <f t="shared" si="21"/>
        <v>18286491757.999866</v>
      </c>
      <c r="H270" s="10">
        <f t="shared" si="22"/>
        <v>0.96315510047912278</v>
      </c>
      <c r="I270" s="11">
        <f t="shared" si="23"/>
        <v>4.7683743983303775E-4</v>
      </c>
      <c r="J270" t="s">
        <v>1208</v>
      </c>
      <c r="K270" t="s">
        <v>1664</v>
      </c>
      <c r="L270" t="s">
        <v>1886</v>
      </c>
    </row>
    <row r="271" spans="1:12">
      <c r="A271">
        <v>270</v>
      </c>
      <c r="B271" t="s">
        <v>528</v>
      </c>
      <c r="C271" t="s">
        <v>529</v>
      </c>
      <c r="D271" t="s">
        <v>928</v>
      </c>
      <c r="E271">
        <v>6.9498216954468202</v>
      </c>
      <c r="F271">
        <f t="shared" si="20"/>
        <v>8908850.999999905</v>
      </c>
      <c r="G271">
        <f t="shared" si="21"/>
        <v>18295400608.999866</v>
      </c>
      <c r="H271" s="10">
        <f t="shared" si="22"/>
        <v>0.96362433237956679</v>
      </c>
      <c r="I271" s="11">
        <f t="shared" si="23"/>
        <v>4.6923190044392468E-4</v>
      </c>
      <c r="J271" t="s">
        <v>1209</v>
      </c>
      <c r="K271" t="s">
        <v>1510</v>
      </c>
      <c r="L271" t="s">
        <v>1887</v>
      </c>
    </row>
    <row r="272" spans="1:12">
      <c r="A272">
        <v>271</v>
      </c>
      <c r="B272" t="s">
        <v>838</v>
      </c>
      <c r="C272" t="s">
        <v>839</v>
      </c>
      <c r="D272" t="s">
        <v>928</v>
      </c>
      <c r="E272">
        <v>6.9430718377159</v>
      </c>
      <c r="F272">
        <f t="shared" si="20"/>
        <v>8771458.9999999329</v>
      </c>
      <c r="G272">
        <f t="shared" si="21"/>
        <v>18304172067.999866</v>
      </c>
      <c r="H272" s="10">
        <f t="shared" si="22"/>
        <v>0.96408632780144954</v>
      </c>
      <c r="I272" s="11">
        <f t="shared" si="23"/>
        <v>4.6199542188279718E-4</v>
      </c>
      <c r="J272" t="s">
        <v>1210</v>
      </c>
      <c r="K272" t="s">
        <v>1888</v>
      </c>
      <c r="L272" t="s">
        <v>1889</v>
      </c>
    </row>
    <row r="273" spans="1:12">
      <c r="A273">
        <v>272</v>
      </c>
      <c r="B273" t="s">
        <v>70</v>
      </c>
      <c r="C273" t="s">
        <v>71</v>
      </c>
      <c r="D273" t="s">
        <v>928</v>
      </c>
      <c r="E273">
        <v>6.9409604634760402</v>
      </c>
      <c r="F273">
        <f t="shared" si="20"/>
        <v>8728918.9999999125</v>
      </c>
      <c r="G273">
        <f t="shared" si="21"/>
        <v>18312900986.999866</v>
      </c>
      <c r="H273" s="10">
        <f t="shared" si="22"/>
        <v>0.96454608262855246</v>
      </c>
      <c r="I273" s="11">
        <f t="shared" si="23"/>
        <v>4.5975482710296591E-4</v>
      </c>
      <c r="J273" t="s">
        <v>1211</v>
      </c>
      <c r="K273" t="s">
        <v>1890</v>
      </c>
      <c r="L273" t="s">
        <v>1891</v>
      </c>
    </row>
    <row r="274" spans="1:12">
      <c r="A274">
        <v>273</v>
      </c>
      <c r="B274" t="s">
        <v>388</v>
      </c>
      <c r="C274" t="s">
        <v>389</v>
      </c>
      <c r="D274" t="s">
        <v>928</v>
      </c>
      <c r="E274">
        <v>6.9219556026463698</v>
      </c>
      <c r="F274">
        <f t="shared" si="20"/>
        <v>8355175.9999998705</v>
      </c>
      <c r="G274">
        <f t="shared" si="21"/>
        <v>18321256162.999866</v>
      </c>
      <c r="H274" s="10">
        <f t="shared" si="22"/>
        <v>0.96498615229780882</v>
      </c>
      <c r="I274" s="11">
        <f t="shared" si="23"/>
        <v>4.4006966925627666E-4</v>
      </c>
      <c r="J274" t="s">
        <v>1212</v>
      </c>
      <c r="K274" t="s">
        <v>1510</v>
      </c>
      <c r="L274" t="s">
        <v>1892</v>
      </c>
    </row>
    <row r="275" spans="1:12">
      <c r="A275">
        <v>274</v>
      </c>
      <c r="B275" t="s">
        <v>590</v>
      </c>
      <c r="C275" t="s">
        <v>591</v>
      </c>
      <c r="D275" t="s">
        <v>928</v>
      </c>
      <c r="E275">
        <v>6.9159031772597697</v>
      </c>
      <c r="F275">
        <f t="shared" si="20"/>
        <v>8239543.9999998184</v>
      </c>
      <c r="G275">
        <f t="shared" si="21"/>
        <v>18329495706.999866</v>
      </c>
      <c r="H275" s="10">
        <f t="shared" si="22"/>
        <v>0.96542013159434337</v>
      </c>
      <c r="I275" s="11">
        <f t="shared" si="23"/>
        <v>4.3397929653456912E-4</v>
      </c>
      <c r="J275" t="s">
        <v>1213</v>
      </c>
      <c r="K275" t="s">
        <v>1893</v>
      </c>
      <c r="L275" t="s">
        <v>1894</v>
      </c>
    </row>
    <row r="276" spans="1:12">
      <c r="A276">
        <v>275</v>
      </c>
      <c r="B276" t="s">
        <v>88</v>
      </c>
      <c r="C276" t="s">
        <v>89</v>
      </c>
      <c r="D276" t="s">
        <v>928</v>
      </c>
      <c r="E276">
        <v>6.9139746175081802</v>
      </c>
      <c r="F276">
        <f t="shared" si="20"/>
        <v>8203035.9999998808</v>
      </c>
      <c r="G276">
        <f t="shared" si="21"/>
        <v>18337698742.999866</v>
      </c>
      <c r="H276" s="10">
        <f t="shared" si="22"/>
        <v>0.96585218800337858</v>
      </c>
      <c r="I276" s="11">
        <f t="shared" si="23"/>
        <v>4.3205640903522968E-4</v>
      </c>
      <c r="J276" t="s">
        <v>1214</v>
      </c>
      <c r="K276" t="s">
        <v>1662</v>
      </c>
      <c r="L276" t="s">
        <v>1895</v>
      </c>
    </row>
    <row r="277" spans="1:12">
      <c r="A277">
        <v>276</v>
      </c>
      <c r="B277" t="s">
        <v>462</v>
      </c>
      <c r="C277" t="s">
        <v>463</v>
      </c>
      <c r="D277" t="s">
        <v>928</v>
      </c>
      <c r="E277">
        <v>6.9079316111765197</v>
      </c>
      <c r="F277">
        <f t="shared" si="20"/>
        <v>8089684.9999999404</v>
      </c>
      <c r="G277">
        <f t="shared" si="21"/>
        <v>18345788427.999866</v>
      </c>
      <c r="H277" s="10">
        <f t="shared" si="22"/>
        <v>0.96627827418065815</v>
      </c>
      <c r="I277" s="11">
        <f t="shared" si="23"/>
        <v>4.2608617727950813E-4</v>
      </c>
      <c r="J277" t="s">
        <v>1215</v>
      </c>
      <c r="K277" t="s">
        <v>1896</v>
      </c>
      <c r="L277" t="s">
        <v>1897</v>
      </c>
    </row>
    <row r="278" spans="1:12">
      <c r="A278">
        <v>277</v>
      </c>
      <c r="B278" t="s">
        <v>800</v>
      </c>
      <c r="C278" t="s">
        <v>801</v>
      </c>
      <c r="D278" t="s">
        <v>928</v>
      </c>
      <c r="E278">
        <v>6.9065856586953602</v>
      </c>
      <c r="F278">
        <f t="shared" si="20"/>
        <v>8064652.4999999851</v>
      </c>
      <c r="G278">
        <f t="shared" si="21"/>
        <v>18353853080.499866</v>
      </c>
      <c r="H278" s="10">
        <f t="shared" si="22"/>
        <v>0.96670304188852474</v>
      </c>
      <c r="I278" s="11">
        <f t="shared" si="23"/>
        <v>4.2476770786657915E-4</v>
      </c>
      <c r="J278" t="s">
        <v>1216</v>
      </c>
      <c r="K278" t="s">
        <v>1898</v>
      </c>
      <c r="L278" t="s">
        <v>1899</v>
      </c>
    </row>
    <row r="279" spans="1:12">
      <c r="A279">
        <v>278</v>
      </c>
      <c r="B279" t="s">
        <v>398</v>
      </c>
      <c r="C279" t="s">
        <v>399</v>
      </c>
      <c r="D279" t="s">
        <v>928</v>
      </c>
      <c r="E279">
        <v>6.90355635877052</v>
      </c>
      <c r="F279">
        <f t="shared" si="20"/>
        <v>8008595.4999999879</v>
      </c>
      <c r="G279">
        <f t="shared" si="21"/>
        <v>18361861675.999866</v>
      </c>
      <c r="H279" s="10">
        <f t="shared" si="22"/>
        <v>0.96712485705709716</v>
      </c>
      <c r="I279" s="11">
        <f t="shared" si="23"/>
        <v>4.2181516857243403E-4</v>
      </c>
      <c r="J279" t="s">
        <v>1217</v>
      </c>
      <c r="K279" t="s">
        <v>1469</v>
      </c>
      <c r="L279" t="s">
        <v>1900</v>
      </c>
    </row>
    <row r="280" spans="1:12">
      <c r="A280">
        <v>279</v>
      </c>
      <c r="B280" t="s">
        <v>616</v>
      </c>
      <c r="C280" t="s">
        <v>617</v>
      </c>
      <c r="D280" t="s">
        <v>928</v>
      </c>
      <c r="E280">
        <v>6.9012483434796597</v>
      </c>
      <c r="F280">
        <f t="shared" si="20"/>
        <v>7966147.499999918</v>
      </c>
      <c r="G280">
        <f t="shared" si="21"/>
        <v>18369827823.499866</v>
      </c>
      <c r="H280" s="10">
        <f t="shared" si="22"/>
        <v>0.96754443647655786</v>
      </c>
      <c r="I280" s="11">
        <f t="shared" si="23"/>
        <v>4.1957941946067128E-4</v>
      </c>
      <c r="J280" t="s">
        <v>1218</v>
      </c>
      <c r="K280" t="s">
        <v>1901</v>
      </c>
      <c r="L280" t="s">
        <v>1902</v>
      </c>
    </row>
    <row r="281" spans="1:12">
      <c r="A281">
        <v>280</v>
      </c>
      <c r="B281" t="s">
        <v>30</v>
      </c>
      <c r="C281" t="s">
        <v>31</v>
      </c>
      <c r="D281" t="s">
        <v>928</v>
      </c>
      <c r="E281">
        <v>6.8998120516524999</v>
      </c>
      <c r="F281">
        <f t="shared" si="20"/>
        <v>7939845.4999999804</v>
      </c>
      <c r="G281">
        <f t="shared" si="21"/>
        <v>18377767668.999866</v>
      </c>
      <c r="H281" s="10">
        <f t="shared" si="22"/>
        <v>0.96796263056165321</v>
      </c>
      <c r="I281" s="11">
        <f t="shared" si="23"/>
        <v>4.1819408509539263E-4</v>
      </c>
      <c r="J281" t="s">
        <v>1219</v>
      </c>
      <c r="K281" t="s">
        <v>1903</v>
      </c>
      <c r="L281" t="s">
        <v>1904</v>
      </c>
    </row>
    <row r="282" spans="1:12">
      <c r="A282">
        <v>281</v>
      </c>
      <c r="B282" t="s">
        <v>662</v>
      </c>
      <c r="C282" t="s">
        <v>663</v>
      </c>
      <c r="D282" t="s">
        <v>928</v>
      </c>
      <c r="E282">
        <v>6.8981360993708796</v>
      </c>
      <c r="F282">
        <f t="shared" si="20"/>
        <v>7909264.4999999367</v>
      </c>
      <c r="G282">
        <f t="shared" si="21"/>
        <v>18385676933.499866</v>
      </c>
      <c r="H282" s="10">
        <f t="shared" si="22"/>
        <v>0.96837921393614768</v>
      </c>
      <c r="I282" s="11">
        <f t="shared" si="23"/>
        <v>4.1658337449449736E-4</v>
      </c>
      <c r="J282" t="s">
        <v>1220</v>
      </c>
      <c r="K282" t="s">
        <v>1905</v>
      </c>
      <c r="L282" t="s">
        <v>1906</v>
      </c>
    </row>
    <row r="283" spans="1:12">
      <c r="A283">
        <v>282</v>
      </c>
      <c r="B283" t="s">
        <v>518</v>
      </c>
      <c r="C283" t="s">
        <v>519</v>
      </c>
      <c r="D283" t="s">
        <v>928</v>
      </c>
      <c r="E283">
        <v>6.8958484540561402</v>
      </c>
      <c r="F283">
        <f t="shared" si="20"/>
        <v>7867711.9999999162</v>
      </c>
      <c r="G283">
        <f t="shared" si="21"/>
        <v>18393544645.499866</v>
      </c>
      <c r="H283" s="10">
        <f t="shared" si="22"/>
        <v>0.96879360872778864</v>
      </c>
      <c r="I283" s="11">
        <f t="shared" si="23"/>
        <v>4.1439479164097272E-4</v>
      </c>
      <c r="J283" t="s">
        <v>1221</v>
      </c>
      <c r="K283" t="s">
        <v>1907</v>
      </c>
      <c r="L283" t="s">
        <v>1908</v>
      </c>
    </row>
    <row r="284" spans="1:12">
      <c r="A284">
        <v>283</v>
      </c>
      <c r="B284" t="s">
        <v>644</v>
      </c>
      <c r="C284" t="s">
        <v>645</v>
      </c>
      <c r="D284" t="s">
        <v>928</v>
      </c>
      <c r="E284">
        <v>6.8949449740275899</v>
      </c>
      <c r="F284">
        <f t="shared" si="20"/>
        <v>7851361.5000000019</v>
      </c>
      <c r="G284">
        <f t="shared" si="21"/>
        <v>18401396006.999866</v>
      </c>
      <c r="H284" s="10">
        <f t="shared" si="22"/>
        <v>0.96920714233360583</v>
      </c>
      <c r="I284" s="11">
        <f t="shared" si="23"/>
        <v>4.1353360581710292E-4</v>
      </c>
      <c r="J284" t="s">
        <v>1222</v>
      </c>
      <c r="K284" t="s">
        <v>1909</v>
      </c>
      <c r="L284" t="s">
        <v>1910</v>
      </c>
    </row>
    <row r="285" spans="1:12">
      <c r="A285">
        <v>284</v>
      </c>
      <c r="B285" t="s">
        <v>298</v>
      </c>
      <c r="C285" t="s">
        <v>299</v>
      </c>
      <c r="D285" t="s">
        <v>928</v>
      </c>
      <c r="E285">
        <v>6.8896979344941203</v>
      </c>
      <c r="F285">
        <f t="shared" si="20"/>
        <v>7757073.9999999646</v>
      </c>
      <c r="G285">
        <f t="shared" si="21"/>
        <v>18409153080.999866</v>
      </c>
      <c r="H285" s="10">
        <f t="shared" si="22"/>
        <v>0.9696157097880288</v>
      </c>
      <c r="I285" s="11">
        <f t="shared" si="23"/>
        <v>4.0856745442304274E-4</v>
      </c>
      <c r="J285" t="s">
        <v>1223</v>
      </c>
      <c r="K285" t="s">
        <v>1911</v>
      </c>
      <c r="L285" t="s">
        <v>1912</v>
      </c>
    </row>
    <row r="286" spans="1:12">
      <c r="A286">
        <v>285</v>
      </c>
      <c r="B286" t="s">
        <v>260</v>
      </c>
      <c r="C286" t="s">
        <v>261</v>
      </c>
      <c r="D286" t="s">
        <v>928</v>
      </c>
      <c r="E286">
        <v>6.8880389294335904</v>
      </c>
      <c r="F286">
        <f t="shared" si="20"/>
        <v>7727498.5000000037</v>
      </c>
      <c r="G286">
        <f t="shared" si="21"/>
        <v>18416880579.499866</v>
      </c>
      <c r="H286" s="10">
        <f t="shared" si="22"/>
        <v>0.97002271949184282</v>
      </c>
      <c r="I286" s="11">
        <f t="shared" si="23"/>
        <v>4.0700970381395059E-4</v>
      </c>
      <c r="J286" t="s">
        <v>1224</v>
      </c>
      <c r="K286" t="s">
        <v>1913</v>
      </c>
      <c r="L286" t="s">
        <v>1914</v>
      </c>
    </row>
    <row r="287" spans="1:12">
      <c r="A287">
        <v>286</v>
      </c>
      <c r="B287" t="s">
        <v>322</v>
      </c>
      <c r="C287" t="s">
        <v>323</v>
      </c>
      <c r="D287" t="s">
        <v>928</v>
      </c>
      <c r="E287">
        <v>6.8839251676682398</v>
      </c>
      <c r="F287">
        <f t="shared" si="20"/>
        <v>7654646.9999998519</v>
      </c>
      <c r="G287">
        <f t="shared" si="21"/>
        <v>18424535226.499866</v>
      </c>
      <c r="H287" s="10">
        <f t="shared" si="22"/>
        <v>0.97042589208492325</v>
      </c>
      <c r="I287" s="11">
        <f t="shared" si="23"/>
        <v>4.0317259308044948E-4</v>
      </c>
      <c r="J287" t="s">
        <v>1225</v>
      </c>
      <c r="K287" t="s">
        <v>1915</v>
      </c>
      <c r="L287" t="s">
        <v>1916</v>
      </c>
    </row>
    <row r="288" spans="1:12">
      <c r="A288">
        <v>287</v>
      </c>
      <c r="B288" t="s">
        <v>62</v>
      </c>
      <c r="C288" t="s">
        <v>63</v>
      </c>
      <c r="D288" t="s">
        <v>928</v>
      </c>
      <c r="E288">
        <v>6.8803730457369801</v>
      </c>
      <c r="F288">
        <f t="shared" si="20"/>
        <v>7592294.5000000047</v>
      </c>
      <c r="G288">
        <f t="shared" si="21"/>
        <v>18432127520.999866</v>
      </c>
      <c r="H288" s="10">
        <f t="shared" si="22"/>
        <v>0.97082578055280366</v>
      </c>
      <c r="I288" s="11">
        <f t="shared" si="23"/>
        <v>3.9988846788042553E-4</v>
      </c>
      <c r="J288" t="s">
        <v>1226</v>
      </c>
      <c r="K288" t="s">
        <v>1917</v>
      </c>
      <c r="L288" t="s">
        <v>1918</v>
      </c>
    </row>
    <row r="289" spans="1:12">
      <c r="A289">
        <v>288</v>
      </c>
      <c r="B289" t="s">
        <v>630</v>
      </c>
      <c r="C289" t="s">
        <v>631</v>
      </c>
      <c r="D289" t="s">
        <v>928</v>
      </c>
      <c r="E289">
        <v>6.8758544289719401</v>
      </c>
      <c r="F289">
        <f t="shared" si="20"/>
        <v>7513709.9999998994</v>
      </c>
      <c r="G289">
        <f t="shared" si="21"/>
        <v>18439641230.999866</v>
      </c>
      <c r="H289" s="10">
        <f t="shared" si="22"/>
        <v>0.97122152995109134</v>
      </c>
      <c r="I289" s="11">
        <f t="shared" si="23"/>
        <v>3.9574939828767051E-4</v>
      </c>
      <c r="J289" t="s">
        <v>1227</v>
      </c>
      <c r="K289" t="s">
        <v>1577</v>
      </c>
      <c r="L289" t="s">
        <v>1919</v>
      </c>
    </row>
    <row r="290" spans="1:12">
      <c r="A290">
        <v>289</v>
      </c>
      <c r="B290" t="s">
        <v>366</v>
      </c>
      <c r="C290" t="s">
        <v>367</v>
      </c>
      <c r="D290" t="s">
        <v>928</v>
      </c>
      <c r="E290">
        <v>6.8730063077450803</v>
      </c>
      <c r="F290">
        <f t="shared" si="20"/>
        <v>7464595.9999998547</v>
      </c>
      <c r="G290">
        <f t="shared" si="21"/>
        <v>18447105826.999866</v>
      </c>
      <c r="H290" s="10">
        <f t="shared" si="22"/>
        <v>0.97161469250001331</v>
      </c>
      <c r="I290" s="11">
        <f t="shared" si="23"/>
        <v>3.9316254892197516E-4</v>
      </c>
      <c r="J290" t="s">
        <v>1228</v>
      </c>
      <c r="K290" t="s">
        <v>1510</v>
      </c>
      <c r="L290" t="s">
        <v>1920</v>
      </c>
    </row>
    <row r="291" spans="1:12">
      <c r="A291">
        <v>290</v>
      </c>
      <c r="B291" t="s">
        <v>194</v>
      </c>
      <c r="C291" t="s">
        <v>195</v>
      </c>
      <c r="D291" t="s">
        <v>928</v>
      </c>
      <c r="E291">
        <v>6.8716439112095804</v>
      </c>
      <c r="F291">
        <f t="shared" si="20"/>
        <v>7441215.9999999544</v>
      </c>
      <c r="G291">
        <f t="shared" si="21"/>
        <v>18454547042.999866</v>
      </c>
      <c r="H291" s="10">
        <f t="shared" si="22"/>
        <v>0.97200662361720158</v>
      </c>
      <c r="I291" s="11">
        <f t="shared" si="23"/>
        <v>3.9193111718826087E-4</v>
      </c>
      <c r="J291" t="s">
        <v>1229</v>
      </c>
      <c r="K291" t="s">
        <v>1921</v>
      </c>
      <c r="L291" t="s">
        <v>1922</v>
      </c>
    </row>
    <row r="292" spans="1:12">
      <c r="A292">
        <v>291</v>
      </c>
      <c r="B292" t="s">
        <v>642</v>
      </c>
      <c r="C292" t="s">
        <v>643</v>
      </c>
      <c r="D292" t="s">
        <v>928</v>
      </c>
      <c r="E292">
        <v>6.8688900773351502</v>
      </c>
      <c r="F292">
        <f t="shared" si="20"/>
        <v>7394180.9999999134</v>
      </c>
      <c r="G292">
        <f t="shared" si="21"/>
        <v>18461941223.999866</v>
      </c>
      <c r="H292" s="10">
        <f t="shared" si="22"/>
        <v>0.97239607738658851</v>
      </c>
      <c r="I292" s="11">
        <f t="shared" si="23"/>
        <v>3.8945376938691149E-4</v>
      </c>
      <c r="J292" t="s">
        <v>1230</v>
      </c>
      <c r="K292" t="s">
        <v>1923</v>
      </c>
      <c r="L292" t="s">
        <v>1924</v>
      </c>
    </row>
    <row r="293" spans="1:12">
      <c r="A293">
        <v>292</v>
      </c>
      <c r="B293" t="s">
        <v>374</v>
      </c>
      <c r="C293" t="s">
        <v>375</v>
      </c>
      <c r="D293" t="s">
        <v>928</v>
      </c>
      <c r="E293">
        <v>6.8639267043862402</v>
      </c>
      <c r="F293">
        <f t="shared" si="20"/>
        <v>7310157.0000000102</v>
      </c>
      <c r="G293">
        <f t="shared" si="21"/>
        <v>18469251380.999866</v>
      </c>
      <c r="H293" s="10">
        <f t="shared" si="22"/>
        <v>0.97278110558625797</v>
      </c>
      <c r="I293" s="11">
        <f t="shared" si="23"/>
        <v>3.8502819966946357E-4</v>
      </c>
      <c r="J293" t="s">
        <v>1231</v>
      </c>
      <c r="K293" t="s">
        <v>1925</v>
      </c>
      <c r="L293" t="s">
        <v>1926</v>
      </c>
    </row>
    <row r="294" spans="1:12">
      <c r="A294">
        <v>293</v>
      </c>
      <c r="B294" t="s">
        <v>170</v>
      </c>
      <c r="C294" t="s">
        <v>171</v>
      </c>
      <c r="D294" t="s">
        <v>928</v>
      </c>
      <c r="E294">
        <v>6.8508415012868502</v>
      </c>
      <c r="F294">
        <f t="shared" si="20"/>
        <v>7093188.4999998687</v>
      </c>
      <c r="G294">
        <f t="shared" si="21"/>
        <v>18476344569.499866</v>
      </c>
      <c r="H294" s="10">
        <f t="shared" si="22"/>
        <v>0.97315470598883091</v>
      </c>
      <c r="I294" s="11">
        <f t="shared" si="23"/>
        <v>3.7360040257289801E-4</v>
      </c>
      <c r="J294" t="s">
        <v>1232</v>
      </c>
      <c r="K294" t="s">
        <v>1510</v>
      </c>
      <c r="L294" t="s">
        <v>1927</v>
      </c>
    </row>
    <row r="295" spans="1:12">
      <c r="A295">
        <v>294</v>
      </c>
      <c r="B295" t="s">
        <v>126</v>
      </c>
      <c r="C295" t="s">
        <v>127</v>
      </c>
      <c r="D295" t="s">
        <v>928</v>
      </c>
      <c r="E295">
        <v>6.8497757023669603</v>
      </c>
      <c r="F295">
        <f t="shared" si="20"/>
        <v>7075802.4999999274</v>
      </c>
      <c r="G295">
        <f t="shared" si="21"/>
        <v>18483420371.999866</v>
      </c>
      <c r="H295" s="10">
        <f t="shared" si="22"/>
        <v>0.973527390665479</v>
      </c>
      <c r="I295" s="11">
        <f t="shared" si="23"/>
        <v>3.7268467664807446E-4</v>
      </c>
      <c r="J295" t="s">
        <v>1233</v>
      </c>
      <c r="K295" t="s">
        <v>1928</v>
      </c>
      <c r="L295" t="s">
        <v>1929</v>
      </c>
    </row>
    <row r="296" spans="1:12">
      <c r="A296">
        <v>295</v>
      </c>
      <c r="B296" t="s">
        <v>895</v>
      </c>
      <c r="C296" t="s">
        <v>896</v>
      </c>
      <c r="D296" t="s">
        <v>928</v>
      </c>
      <c r="E296">
        <v>6.8437258304737201</v>
      </c>
      <c r="F296">
        <f t="shared" si="20"/>
        <v>6977917.5000000121</v>
      </c>
      <c r="G296">
        <f t="shared" si="21"/>
        <v>18490398289.499866</v>
      </c>
      <c r="H296" s="10">
        <f t="shared" si="22"/>
        <v>0.9738949197093103</v>
      </c>
      <c r="I296" s="11">
        <f t="shared" si="23"/>
        <v>3.6752904383134931E-4</v>
      </c>
      <c r="J296" t="s">
        <v>1234</v>
      </c>
      <c r="K296" t="s">
        <v>1930</v>
      </c>
      <c r="L296" t="s">
        <v>1931</v>
      </c>
    </row>
    <row r="297" spans="1:12">
      <c r="A297">
        <v>296</v>
      </c>
      <c r="B297" t="s">
        <v>786</v>
      </c>
      <c r="C297" t="s">
        <v>787</v>
      </c>
      <c r="D297" t="s">
        <v>928</v>
      </c>
      <c r="E297">
        <v>6.8379735775154797</v>
      </c>
      <c r="F297">
        <f t="shared" si="20"/>
        <v>6886104.0000000009</v>
      </c>
      <c r="G297">
        <f t="shared" si="21"/>
        <v>18497284393.499866</v>
      </c>
      <c r="H297" s="10">
        <f t="shared" si="22"/>
        <v>0.97425761290808244</v>
      </c>
      <c r="I297" s="11">
        <f t="shared" si="23"/>
        <v>3.6269319877215887E-4</v>
      </c>
      <c r="J297" t="s">
        <v>1235</v>
      </c>
      <c r="K297" t="s">
        <v>1932</v>
      </c>
      <c r="L297" t="s">
        <v>1933</v>
      </c>
    </row>
    <row r="298" spans="1:12">
      <c r="A298">
        <v>297</v>
      </c>
      <c r="B298" t="s">
        <v>110</v>
      </c>
      <c r="C298" t="s">
        <v>111</v>
      </c>
      <c r="D298" t="s">
        <v>928</v>
      </c>
      <c r="E298">
        <v>6.8378842636999</v>
      </c>
      <c r="F298">
        <f t="shared" si="20"/>
        <v>6884688.0000000037</v>
      </c>
      <c r="G298">
        <f t="shared" si="21"/>
        <v>18504169081.499866</v>
      </c>
      <c r="H298" s="10">
        <f t="shared" si="22"/>
        <v>0.97462023152570254</v>
      </c>
      <c r="I298" s="11">
        <f t="shared" si="23"/>
        <v>3.6261861762010826E-4</v>
      </c>
      <c r="J298" t="s">
        <v>1236</v>
      </c>
      <c r="K298" t="s">
        <v>1469</v>
      </c>
      <c r="L298" t="s">
        <v>1934</v>
      </c>
    </row>
    <row r="299" spans="1:12">
      <c r="A299">
        <v>298</v>
      </c>
      <c r="B299" t="s">
        <v>54</v>
      </c>
      <c r="C299" t="s">
        <v>55</v>
      </c>
      <c r="D299" t="s">
        <v>928</v>
      </c>
      <c r="E299">
        <v>6.8367255259209196</v>
      </c>
      <c r="F299">
        <f t="shared" si="20"/>
        <v>6866343.4999999134</v>
      </c>
      <c r="G299">
        <f t="shared" si="21"/>
        <v>18511035424.999866</v>
      </c>
      <c r="H299" s="10">
        <f t="shared" si="22"/>
        <v>0.97498188393291041</v>
      </c>
      <c r="I299" s="11">
        <f t="shared" si="23"/>
        <v>3.6165240720781869E-4</v>
      </c>
      <c r="J299" t="s">
        <v>1237</v>
      </c>
      <c r="K299" t="s">
        <v>1923</v>
      </c>
      <c r="L299" t="s">
        <v>1935</v>
      </c>
    </row>
    <row r="300" spans="1:12">
      <c r="A300">
        <v>299</v>
      </c>
      <c r="B300" t="s">
        <v>692</v>
      </c>
      <c r="C300" t="s">
        <v>693</v>
      </c>
      <c r="D300" t="s">
        <v>928</v>
      </c>
      <c r="E300">
        <v>6.8362219558573001</v>
      </c>
      <c r="F300">
        <f t="shared" si="20"/>
        <v>6858386.5000000168</v>
      </c>
      <c r="G300">
        <f t="shared" si="21"/>
        <v>18517893811.499866</v>
      </c>
      <c r="H300" s="10">
        <f t="shared" si="22"/>
        <v>0.97534311724250033</v>
      </c>
      <c r="I300" s="11">
        <f t="shared" si="23"/>
        <v>3.6123330958997955E-4</v>
      </c>
      <c r="J300" t="s">
        <v>1238</v>
      </c>
      <c r="K300" t="s">
        <v>1936</v>
      </c>
      <c r="L300" t="s">
        <v>1937</v>
      </c>
    </row>
    <row r="301" spans="1:12">
      <c r="A301">
        <v>300</v>
      </c>
      <c r="B301" t="s">
        <v>172</v>
      </c>
      <c r="C301" t="s">
        <v>173</v>
      </c>
      <c r="D301" t="s">
        <v>928</v>
      </c>
      <c r="E301">
        <v>6.8335173160796003</v>
      </c>
      <c r="F301">
        <f t="shared" si="20"/>
        <v>6815807.4999999758</v>
      </c>
      <c r="G301">
        <f t="shared" si="21"/>
        <v>18524709618.999866</v>
      </c>
      <c r="H301" s="10">
        <f t="shared" si="22"/>
        <v>0.97570210790316858</v>
      </c>
      <c r="I301" s="11">
        <f t="shared" si="23"/>
        <v>3.5899066066824754E-4</v>
      </c>
      <c r="J301" t="s">
        <v>1239</v>
      </c>
      <c r="K301" t="s">
        <v>1938</v>
      </c>
      <c r="L301" t="s">
        <v>1939</v>
      </c>
    </row>
    <row r="302" spans="1:12">
      <c r="A302">
        <v>301</v>
      </c>
      <c r="B302" t="s">
        <v>442</v>
      </c>
      <c r="C302" t="s">
        <v>443</v>
      </c>
      <c r="D302" t="s">
        <v>928</v>
      </c>
      <c r="E302">
        <v>6.8307113058806701</v>
      </c>
      <c r="F302">
        <f t="shared" si="20"/>
        <v>6771911.9999999022</v>
      </c>
      <c r="G302">
        <f t="shared" si="21"/>
        <v>18531481530.999866</v>
      </c>
      <c r="H302" s="10">
        <f t="shared" si="22"/>
        <v>0.97605878657445844</v>
      </c>
      <c r="I302" s="11">
        <f t="shared" si="23"/>
        <v>3.5667867128982253E-4</v>
      </c>
      <c r="J302" t="s">
        <v>1240</v>
      </c>
      <c r="K302" t="s">
        <v>1510</v>
      </c>
      <c r="L302" t="s">
        <v>1940</v>
      </c>
    </row>
    <row r="303" spans="1:12">
      <c r="A303">
        <v>302</v>
      </c>
      <c r="B303" t="s">
        <v>740</v>
      </c>
      <c r="C303" t="s">
        <v>741</v>
      </c>
      <c r="D303" t="s">
        <v>928</v>
      </c>
      <c r="E303">
        <v>6.81085316247525</v>
      </c>
      <c r="F303">
        <f t="shared" si="20"/>
        <v>6469238.4999999618</v>
      </c>
      <c r="G303">
        <f t="shared" si="21"/>
        <v>18537950769.499866</v>
      </c>
      <c r="H303" s="10">
        <f t="shared" si="22"/>
        <v>0.97639952334015134</v>
      </c>
      <c r="I303" s="11">
        <f t="shared" si="23"/>
        <v>3.4073676569290688E-4</v>
      </c>
      <c r="J303" t="s">
        <v>1241</v>
      </c>
      <c r="K303" t="s">
        <v>1941</v>
      </c>
      <c r="L303" t="s">
        <v>1942</v>
      </c>
    </row>
    <row r="304" spans="1:12">
      <c r="A304">
        <v>303</v>
      </c>
      <c r="B304" t="s">
        <v>856</v>
      </c>
      <c r="C304" t="s">
        <v>857</v>
      </c>
      <c r="D304" t="s">
        <v>928</v>
      </c>
      <c r="E304">
        <v>6.8011923087869102</v>
      </c>
      <c r="F304">
        <f t="shared" si="20"/>
        <v>6326919.4999998854</v>
      </c>
      <c r="G304">
        <f t="shared" si="21"/>
        <v>18544277688.999866</v>
      </c>
      <c r="H304" s="10">
        <f t="shared" si="22"/>
        <v>0.97673276412068977</v>
      </c>
      <c r="I304" s="11">
        <f t="shared" si="23"/>
        <v>3.332407805384447E-4</v>
      </c>
      <c r="J304" t="s">
        <v>1242</v>
      </c>
      <c r="K304" t="s">
        <v>1943</v>
      </c>
      <c r="L304" t="s">
        <v>1944</v>
      </c>
    </row>
    <row r="305" spans="1:12">
      <c r="A305">
        <v>304</v>
      </c>
      <c r="B305" t="s">
        <v>22</v>
      </c>
      <c r="C305" t="s">
        <v>23</v>
      </c>
      <c r="D305" t="s">
        <v>928</v>
      </c>
      <c r="E305">
        <v>6.8008530832385601</v>
      </c>
      <c r="F305">
        <f t="shared" si="20"/>
        <v>6321979.4999999544</v>
      </c>
      <c r="G305">
        <f t="shared" si="21"/>
        <v>18550599668.499866</v>
      </c>
      <c r="H305" s="10">
        <f t="shared" si="22"/>
        <v>0.97706574470992091</v>
      </c>
      <c r="I305" s="11">
        <f t="shared" si="23"/>
        <v>3.3298058923115256E-4</v>
      </c>
      <c r="J305" t="s">
        <v>1243</v>
      </c>
      <c r="K305" t="s">
        <v>1945</v>
      </c>
      <c r="L305" t="s">
        <v>1946</v>
      </c>
    </row>
    <row r="306" spans="1:12">
      <c r="A306">
        <v>305</v>
      </c>
      <c r="B306" t="s">
        <v>897</v>
      </c>
      <c r="C306" t="s">
        <v>898</v>
      </c>
      <c r="D306" t="s">
        <v>928</v>
      </c>
      <c r="E306">
        <v>6.8002162170852696</v>
      </c>
      <c r="F306">
        <f t="shared" si="20"/>
        <v>6312715.5000000019</v>
      </c>
      <c r="G306">
        <f t="shared" si="21"/>
        <v>18556912383.999866</v>
      </c>
      <c r="H306" s="10">
        <f t="shared" si="22"/>
        <v>0.97739823736144549</v>
      </c>
      <c r="I306" s="11">
        <f t="shared" si="23"/>
        <v>3.3249265152451786E-4</v>
      </c>
      <c r="J306" t="s">
        <v>1244</v>
      </c>
      <c r="K306" t="s">
        <v>1947</v>
      </c>
      <c r="L306" t="s">
        <v>1948</v>
      </c>
    </row>
    <row r="307" spans="1:12">
      <c r="A307">
        <v>306</v>
      </c>
      <c r="B307" t="s">
        <v>772</v>
      </c>
      <c r="C307" t="s">
        <v>773</v>
      </c>
      <c r="D307" t="s">
        <v>928</v>
      </c>
      <c r="E307">
        <v>6.7998309562936896</v>
      </c>
      <c r="F307">
        <f t="shared" si="20"/>
        <v>6307117.9999999199</v>
      </c>
      <c r="G307">
        <f t="shared" si="21"/>
        <v>18563219501.999866</v>
      </c>
      <c r="H307" s="10">
        <f t="shared" si="22"/>
        <v>0.97773043519093705</v>
      </c>
      <c r="I307" s="11">
        <f t="shared" si="23"/>
        <v>3.3219782949160101E-4</v>
      </c>
      <c r="J307" t="s">
        <v>1245</v>
      </c>
      <c r="K307" t="s">
        <v>1949</v>
      </c>
      <c r="L307" t="s">
        <v>1950</v>
      </c>
    </row>
    <row r="308" spans="1:12">
      <c r="A308">
        <v>307</v>
      </c>
      <c r="B308" t="s">
        <v>174</v>
      </c>
      <c r="C308" t="s">
        <v>175</v>
      </c>
      <c r="D308" t="s">
        <v>928</v>
      </c>
      <c r="E308">
        <v>6.7984556179386901</v>
      </c>
      <c r="F308">
        <f t="shared" si="20"/>
        <v>6287175.9999999264</v>
      </c>
      <c r="G308">
        <f t="shared" si="21"/>
        <v>18569506677.999866</v>
      </c>
      <c r="H308" s="10">
        <f t="shared" si="22"/>
        <v>0.97806158266920395</v>
      </c>
      <c r="I308" s="11">
        <f t="shared" si="23"/>
        <v>3.3114747826688644E-4</v>
      </c>
      <c r="J308" t="s">
        <v>1246</v>
      </c>
      <c r="K308" t="s">
        <v>1938</v>
      </c>
      <c r="L308" t="s">
        <v>1951</v>
      </c>
    </row>
    <row r="309" spans="1:12">
      <c r="A309">
        <v>308</v>
      </c>
      <c r="B309" t="s">
        <v>536</v>
      </c>
      <c r="C309" t="s">
        <v>537</v>
      </c>
      <c r="D309" t="s">
        <v>928</v>
      </c>
      <c r="E309">
        <v>6.7897633805854998</v>
      </c>
      <c r="F309">
        <f t="shared" si="20"/>
        <v>6162591.499999959</v>
      </c>
      <c r="G309">
        <f t="shared" si="21"/>
        <v>18575669269.499866</v>
      </c>
      <c r="H309" s="10">
        <f t="shared" si="22"/>
        <v>0.97838616824384261</v>
      </c>
      <c r="I309" s="11">
        <f t="shared" si="23"/>
        <v>3.2458557463859122E-4</v>
      </c>
      <c r="J309" t="s">
        <v>1247</v>
      </c>
      <c r="K309" t="s">
        <v>1510</v>
      </c>
      <c r="L309" t="s">
        <v>1952</v>
      </c>
    </row>
    <row r="310" spans="1:12">
      <c r="A310">
        <v>309</v>
      </c>
      <c r="B310" t="s">
        <v>244</v>
      </c>
      <c r="C310" t="s">
        <v>245</v>
      </c>
      <c r="D310" t="s">
        <v>928</v>
      </c>
      <c r="E310">
        <v>6.7834812225861603</v>
      </c>
      <c r="F310">
        <f t="shared" si="20"/>
        <v>6074089.9999999516</v>
      </c>
      <c r="G310">
        <f t="shared" si="21"/>
        <v>18581743359.499866</v>
      </c>
      <c r="H310" s="10">
        <f t="shared" si="22"/>
        <v>0.97870609241747253</v>
      </c>
      <c r="I310" s="11">
        <f t="shared" si="23"/>
        <v>3.1992417362996037E-4</v>
      </c>
      <c r="J310" t="s">
        <v>1248</v>
      </c>
      <c r="K310" t="s">
        <v>1953</v>
      </c>
      <c r="L310" t="s">
        <v>1954</v>
      </c>
    </row>
    <row r="311" spans="1:12">
      <c r="A311">
        <v>310</v>
      </c>
      <c r="B311" t="s">
        <v>238</v>
      </c>
      <c r="C311" t="s">
        <v>239</v>
      </c>
      <c r="D311" t="s">
        <v>928</v>
      </c>
      <c r="E311">
        <v>6.7760645269816404</v>
      </c>
      <c r="F311">
        <f t="shared" si="20"/>
        <v>5971239.9999999935</v>
      </c>
      <c r="G311">
        <f t="shared" si="21"/>
        <v>18587714599.499866</v>
      </c>
      <c r="H311" s="10">
        <f t="shared" si="22"/>
        <v>0.9790205994502208</v>
      </c>
      <c r="I311" s="11">
        <f t="shared" si="23"/>
        <v>3.1450703274830922E-4</v>
      </c>
      <c r="J311" t="s">
        <v>1249</v>
      </c>
      <c r="K311" t="s">
        <v>1510</v>
      </c>
      <c r="L311" t="s">
        <v>1955</v>
      </c>
    </row>
    <row r="312" spans="1:12">
      <c r="A312">
        <v>311</v>
      </c>
      <c r="B312" t="s">
        <v>390</v>
      </c>
      <c r="C312" t="s">
        <v>391</v>
      </c>
      <c r="D312" t="s">
        <v>928</v>
      </c>
      <c r="E312">
        <v>6.7751029407763399</v>
      </c>
      <c r="F312">
        <f t="shared" si="20"/>
        <v>5958033.4999999143</v>
      </c>
      <c r="G312">
        <f t="shared" si="21"/>
        <v>18593672632.999866</v>
      </c>
      <c r="H312" s="10">
        <f t="shared" si="22"/>
        <v>0.97933441089258455</v>
      </c>
      <c r="I312" s="11">
        <f t="shared" si="23"/>
        <v>3.138114423637299E-4</v>
      </c>
      <c r="J312" t="s">
        <v>1250</v>
      </c>
      <c r="K312" t="s">
        <v>1956</v>
      </c>
      <c r="L312" t="s">
        <v>1957</v>
      </c>
    </row>
    <row r="313" spans="1:12">
      <c r="A313">
        <v>312</v>
      </c>
      <c r="B313" t="s">
        <v>32</v>
      </c>
      <c r="C313" t="s">
        <v>33</v>
      </c>
      <c r="D313" t="s">
        <v>928</v>
      </c>
      <c r="E313">
        <v>6.7700926946644797</v>
      </c>
      <c r="F313">
        <f t="shared" si="20"/>
        <v>5889693.4999999115</v>
      </c>
      <c r="G313">
        <f t="shared" si="21"/>
        <v>18599562326.499866</v>
      </c>
      <c r="H313" s="10">
        <f t="shared" si="22"/>
        <v>0.97964462284629639</v>
      </c>
      <c r="I313" s="11">
        <f t="shared" si="23"/>
        <v>3.1021195371178822E-4</v>
      </c>
      <c r="J313" t="s">
        <v>1251</v>
      </c>
      <c r="K313" t="s">
        <v>1903</v>
      </c>
      <c r="L313" t="s">
        <v>1958</v>
      </c>
    </row>
    <row r="314" spans="1:12">
      <c r="A314">
        <v>313</v>
      </c>
      <c r="B314" t="s">
        <v>90</v>
      </c>
      <c r="C314" t="s">
        <v>91</v>
      </c>
      <c r="D314" t="s">
        <v>928</v>
      </c>
      <c r="E314">
        <v>6.7669138929470298</v>
      </c>
      <c r="F314">
        <f t="shared" si="20"/>
        <v>5846741.4999999851</v>
      </c>
      <c r="G314">
        <f t="shared" si="21"/>
        <v>18605409067.999866</v>
      </c>
      <c r="H314" s="10">
        <f t="shared" si="22"/>
        <v>0.97995257250506262</v>
      </c>
      <c r="I314" s="11">
        <f t="shared" si="23"/>
        <v>3.0794965876625223E-4</v>
      </c>
      <c r="J314" t="s">
        <v>1252</v>
      </c>
      <c r="K314" t="s">
        <v>1959</v>
      </c>
      <c r="L314" t="s">
        <v>1960</v>
      </c>
    </row>
    <row r="315" spans="1:12">
      <c r="A315">
        <v>314</v>
      </c>
      <c r="B315" t="s">
        <v>120</v>
      </c>
      <c r="C315" t="s">
        <v>121</v>
      </c>
      <c r="D315" t="s">
        <v>928</v>
      </c>
      <c r="E315">
        <v>6.765044301523</v>
      </c>
      <c r="F315">
        <f t="shared" si="20"/>
        <v>5821625.9999999208</v>
      </c>
      <c r="G315">
        <f t="shared" si="21"/>
        <v>18611230693.999866</v>
      </c>
      <c r="H315" s="10">
        <f t="shared" si="22"/>
        <v>0.98025919932278061</v>
      </c>
      <c r="I315" s="11">
        <f t="shared" si="23"/>
        <v>3.066268177179925E-4</v>
      </c>
      <c r="J315" t="s">
        <v>1253</v>
      </c>
      <c r="K315" t="s">
        <v>1510</v>
      </c>
      <c r="L315" t="s">
        <v>1961</v>
      </c>
    </row>
    <row r="316" spans="1:12">
      <c r="A316">
        <v>315</v>
      </c>
      <c r="B316" t="s">
        <v>304</v>
      </c>
      <c r="C316" t="s">
        <v>305</v>
      </c>
      <c r="D316" t="s">
        <v>928</v>
      </c>
      <c r="E316">
        <v>6.7618857594080399</v>
      </c>
      <c r="F316">
        <f t="shared" si="20"/>
        <v>5779439.9999999898</v>
      </c>
      <c r="G316">
        <f t="shared" si="21"/>
        <v>18617010133.999866</v>
      </c>
      <c r="H316" s="10">
        <f t="shared" si="22"/>
        <v>0.98056360419100674</v>
      </c>
      <c r="I316" s="11">
        <f t="shared" si="23"/>
        <v>3.0440486822617865E-4</v>
      </c>
      <c r="J316" t="s">
        <v>1254</v>
      </c>
      <c r="K316" t="s">
        <v>1962</v>
      </c>
      <c r="L316" t="s">
        <v>1963</v>
      </c>
    </row>
    <row r="317" spans="1:12">
      <c r="A317">
        <v>316</v>
      </c>
      <c r="B317" t="s">
        <v>138</v>
      </c>
      <c r="C317" t="s">
        <v>139</v>
      </c>
      <c r="D317" t="s">
        <v>928</v>
      </c>
      <c r="E317">
        <v>6.7609844405689996</v>
      </c>
      <c r="F317">
        <f t="shared" si="20"/>
        <v>5767457.99999996</v>
      </c>
      <c r="G317">
        <f t="shared" si="21"/>
        <v>18622777591.999866</v>
      </c>
      <c r="H317" s="10">
        <f t="shared" si="22"/>
        <v>0.98086737796363699</v>
      </c>
      <c r="I317" s="11">
        <f t="shared" si="23"/>
        <v>3.0377377263022214E-4</v>
      </c>
      <c r="J317" t="s">
        <v>1255</v>
      </c>
      <c r="K317" t="s">
        <v>1964</v>
      </c>
      <c r="L317" t="s">
        <v>1965</v>
      </c>
    </row>
    <row r="318" spans="1:12">
      <c r="A318">
        <v>317</v>
      </c>
      <c r="B318" t="s">
        <v>806</v>
      </c>
      <c r="C318" t="s">
        <v>807</v>
      </c>
      <c r="D318" t="s">
        <v>928</v>
      </c>
      <c r="E318">
        <v>6.7609095474178096</v>
      </c>
      <c r="F318">
        <f t="shared" si="20"/>
        <v>5766463.4999998724</v>
      </c>
      <c r="G318">
        <f t="shared" si="21"/>
        <v>18628544055.499866</v>
      </c>
      <c r="H318" s="10">
        <f t="shared" si="22"/>
        <v>0.98117109935564883</v>
      </c>
      <c r="I318" s="11">
        <f t="shared" si="23"/>
        <v>3.0372139201177505E-4</v>
      </c>
      <c r="J318" t="s">
        <v>1256</v>
      </c>
      <c r="K318" t="s">
        <v>1510</v>
      </c>
      <c r="L318" t="s">
        <v>1966</v>
      </c>
    </row>
    <row r="319" spans="1:12">
      <c r="A319">
        <v>318</v>
      </c>
      <c r="B319" t="s">
        <v>384</v>
      </c>
      <c r="C319" t="s">
        <v>385</v>
      </c>
      <c r="D319" t="s">
        <v>928</v>
      </c>
      <c r="E319">
        <v>6.7604802724116198</v>
      </c>
      <c r="F319">
        <f t="shared" si="20"/>
        <v>5760766.499999986</v>
      </c>
      <c r="G319">
        <f t="shared" si="21"/>
        <v>18634304821.999866</v>
      </c>
      <c r="H319" s="10">
        <f t="shared" si="22"/>
        <v>0.98147452068493235</v>
      </c>
      <c r="I319" s="11">
        <f t="shared" si="23"/>
        <v>3.03421329283509E-4</v>
      </c>
      <c r="J319" t="s">
        <v>1257</v>
      </c>
      <c r="K319" t="s">
        <v>1967</v>
      </c>
      <c r="L319" t="s">
        <v>1968</v>
      </c>
    </row>
    <row r="320" spans="1:12">
      <c r="A320">
        <v>319</v>
      </c>
      <c r="B320" t="s">
        <v>522</v>
      </c>
      <c r="C320" t="s">
        <v>523</v>
      </c>
      <c r="D320" t="s">
        <v>928</v>
      </c>
      <c r="E320">
        <v>6.7580122591885097</v>
      </c>
      <c r="F320">
        <f t="shared" si="20"/>
        <v>5728121.9999999665</v>
      </c>
      <c r="G320">
        <f t="shared" si="21"/>
        <v>18640032943.999866</v>
      </c>
      <c r="H320" s="10">
        <f t="shared" si="22"/>
        <v>0.98177622261844033</v>
      </c>
      <c r="I320" s="11">
        <f t="shared" si="23"/>
        <v>3.0170193350799869E-4</v>
      </c>
      <c r="J320" t="s">
        <v>1258</v>
      </c>
      <c r="K320" t="s">
        <v>1969</v>
      </c>
      <c r="L320" t="s">
        <v>1970</v>
      </c>
    </row>
    <row r="321" spans="1:12">
      <c r="A321">
        <v>320</v>
      </c>
      <c r="B321" t="s">
        <v>782</v>
      </c>
      <c r="C321" t="s">
        <v>783</v>
      </c>
      <c r="D321" t="s">
        <v>928</v>
      </c>
      <c r="E321">
        <v>6.7565048112947501</v>
      </c>
      <c r="F321">
        <f t="shared" si="20"/>
        <v>5708273.9999999441</v>
      </c>
      <c r="G321">
        <f t="shared" si="21"/>
        <v>18645741217.999866</v>
      </c>
      <c r="H321" s="10">
        <f t="shared" si="22"/>
        <v>0.98207687915173225</v>
      </c>
      <c r="I321" s="11">
        <f t="shared" si="23"/>
        <v>3.0065653329196392E-4</v>
      </c>
      <c r="J321" t="s">
        <v>1259</v>
      </c>
      <c r="K321" t="s">
        <v>1971</v>
      </c>
      <c r="L321" t="s">
        <v>1972</v>
      </c>
    </row>
    <row r="322" spans="1:12">
      <c r="A322">
        <v>321</v>
      </c>
      <c r="B322" t="s">
        <v>901</v>
      </c>
      <c r="C322" t="s">
        <v>902</v>
      </c>
      <c r="D322" t="s">
        <v>928</v>
      </c>
      <c r="E322">
        <v>6.7553649080157898</v>
      </c>
      <c r="F322">
        <f t="shared" si="20"/>
        <v>5693310.9999999152</v>
      </c>
      <c r="G322">
        <f t="shared" si="21"/>
        <v>18651434528.999866</v>
      </c>
      <c r="H322" s="10">
        <f t="shared" si="22"/>
        <v>0.98237674757924875</v>
      </c>
      <c r="I322" s="11">
        <f t="shared" si="23"/>
        <v>2.9986842751644288E-4</v>
      </c>
      <c r="J322" t="s">
        <v>1260</v>
      </c>
      <c r="K322" t="s">
        <v>1662</v>
      </c>
      <c r="L322" t="s">
        <v>1973</v>
      </c>
    </row>
    <row r="323" spans="1:12">
      <c r="A323">
        <v>322</v>
      </c>
      <c r="B323" t="s">
        <v>506</v>
      </c>
      <c r="C323" t="s">
        <v>507</v>
      </c>
      <c r="D323" t="s">
        <v>928</v>
      </c>
      <c r="E323">
        <v>6.7548434014617103</v>
      </c>
      <c r="F323">
        <f t="shared" si="20"/>
        <v>5686478.4999999572</v>
      </c>
      <c r="G323">
        <f t="shared" si="21"/>
        <v>18657121007.499866</v>
      </c>
      <c r="H323" s="10">
        <f t="shared" si="22"/>
        <v>0.98267625613690546</v>
      </c>
      <c r="I323" s="11">
        <f t="shared" si="23"/>
        <v>2.9950855765670866E-4</v>
      </c>
      <c r="J323" t="s">
        <v>1261</v>
      </c>
      <c r="K323" t="s">
        <v>1974</v>
      </c>
      <c r="L323" t="s">
        <v>1975</v>
      </c>
    </row>
    <row r="324" spans="1:12">
      <c r="A324">
        <v>323</v>
      </c>
      <c r="B324" t="s">
        <v>879</v>
      </c>
      <c r="C324" t="s">
        <v>880</v>
      </c>
      <c r="D324" t="s">
        <v>928</v>
      </c>
      <c r="E324">
        <v>6.7545357376882897</v>
      </c>
      <c r="F324">
        <f t="shared" si="20"/>
        <v>5682451.499999932</v>
      </c>
      <c r="G324">
        <f t="shared" si="21"/>
        <v>18662803458.999866</v>
      </c>
      <c r="H324" s="10">
        <f t="shared" si="22"/>
        <v>0.98297555259124347</v>
      </c>
      <c r="I324" s="11">
        <f t="shared" si="23"/>
        <v>2.9929645433798667E-4</v>
      </c>
      <c r="J324" t="s">
        <v>1262</v>
      </c>
      <c r="K324" t="s">
        <v>1976</v>
      </c>
      <c r="L324" t="s">
        <v>1977</v>
      </c>
    </row>
    <row r="325" spans="1:12">
      <c r="A325">
        <v>324</v>
      </c>
      <c r="B325" t="s">
        <v>722</v>
      </c>
      <c r="C325" t="s">
        <v>723</v>
      </c>
      <c r="D325" t="s">
        <v>928</v>
      </c>
      <c r="E325">
        <v>6.7503695604209497</v>
      </c>
      <c r="F325">
        <f t="shared" si="20"/>
        <v>5628200.4999999758</v>
      </c>
      <c r="G325">
        <f t="shared" si="21"/>
        <v>18668431659.499866</v>
      </c>
      <c r="H325" s="10">
        <f t="shared" si="22"/>
        <v>0.98327199162885837</v>
      </c>
      <c r="I325" s="11">
        <f t="shared" si="23"/>
        <v>2.9643903761489152E-4</v>
      </c>
      <c r="J325" t="s">
        <v>1263</v>
      </c>
      <c r="K325" t="s">
        <v>1978</v>
      </c>
      <c r="L325" t="s">
        <v>1979</v>
      </c>
    </row>
    <row r="326" spans="1:12">
      <c r="A326">
        <v>325</v>
      </c>
      <c r="B326" t="s">
        <v>102</v>
      </c>
      <c r="C326" t="s">
        <v>103</v>
      </c>
      <c r="D326" t="s">
        <v>928</v>
      </c>
      <c r="E326">
        <v>6.7441353956271497</v>
      </c>
      <c r="F326">
        <f t="shared" si="20"/>
        <v>5547986.4999998799</v>
      </c>
      <c r="G326">
        <f t="shared" si="21"/>
        <v>18673979645.999866</v>
      </c>
      <c r="H326" s="10">
        <f t="shared" si="22"/>
        <v>0.98356420577061832</v>
      </c>
      <c r="I326" s="11">
        <f t="shared" si="23"/>
        <v>2.9221414175994293E-4</v>
      </c>
      <c r="J326" t="s">
        <v>1264</v>
      </c>
      <c r="K326" t="s">
        <v>1980</v>
      </c>
      <c r="L326" t="s">
        <v>1981</v>
      </c>
    </row>
    <row r="327" spans="1:12">
      <c r="A327">
        <v>326</v>
      </c>
      <c r="B327" t="s">
        <v>858</v>
      </c>
      <c r="C327" t="s">
        <v>859</v>
      </c>
      <c r="D327" t="s">
        <v>928</v>
      </c>
      <c r="E327">
        <v>6.7370513547064901</v>
      </c>
      <c r="F327">
        <f t="shared" si="20"/>
        <v>5458223.9999999534</v>
      </c>
      <c r="G327">
        <f t="shared" si="21"/>
        <v>18679437869.999866</v>
      </c>
      <c r="H327" s="10">
        <f t="shared" si="22"/>
        <v>0.98385169209411483</v>
      </c>
      <c r="I327" s="11">
        <f t="shared" si="23"/>
        <v>2.8748632349655928E-4</v>
      </c>
      <c r="J327" t="s">
        <v>1265</v>
      </c>
      <c r="K327" t="s">
        <v>1982</v>
      </c>
      <c r="L327" t="s">
        <v>1983</v>
      </c>
    </row>
    <row r="328" spans="1:12">
      <c r="A328">
        <v>327</v>
      </c>
      <c r="B328" t="s">
        <v>424</v>
      </c>
      <c r="C328" t="s">
        <v>425</v>
      </c>
      <c r="D328" t="s">
        <v>928</v>
      </c>
      <c r="E328">
        <v>6.7306570548755298</v>
      </c>
      <c r="F328">
        <f t="shared" si="20"/>
        <v>5378449.0000000009</v>
      </c>
      <c r="G328">
        <f t="shared" si="21"/>
        <v>18684816318.999866</v>
      </c>
      <c r="H328" s="10">
        <f t="shared" si="22"/>
        <v>0.98413497664402039</v>
      </c>
      <c r="I328" s="11">
        <f t="shared" si="23"/>
        <v>2.832845499055662E-4</v>
      </c>
      <c r="J328" t="s">
        <v>1266</v>
      </c>
      <c r="K328" t="s">
        <v>1510</v>
      </c>
      <c r="L328" t="s">
        <v>1984</v>
      </c>
    </row>
    <row r="329" spans="1:12">
      <c r="A329">
        <v>328</v>
      </c>
      <c r="B329" t="s">
        <v>262</v>
      </c>
      <c r="C329" t="s">
        <v>263</v>
      </c>
      <c r="D329" t="s">
        <v>928</v>
      </c>
      <c r="E329">
        <v>6.7295716690874698</v>
      </c>
      <c r="F329">
        <f t="shared" ref="F329:F392" si="24">POWER(10,E329)</f>
        <v>5365023.9999999069</v>
      </c>
      <c r="G329">
        <f t="shared" ref="G329:G392" si="25">SUM(F329,G328)</f>
        <v>18690181342.999866</v>
      </c>
      <c r="H329" s="10">
        <f t="shared" ref="H329:H392" si="26">G329/$F$1</f>
        <v>0.98441755409507969</v>
      </c>
      <c r="I329" s="11">
        <f t="shared" ref="I329:I392" si="27">F329/F$1</f>
        <v>2.8257745105931723E-4</v>
      </c>
      <c r="J329" t="s">
        <v>1267</v>
      </c>
      <c r="K329" t="s">
        <v>1510</v>
      </c>
      <c r="L329" t="s">
        <v>1985</v>
      </c>
    </row>
    <row r="330" spans="1:12">
      <c r="A330">
        <v>329</v>
      </c>
      <c r="B330" t="s">
        <v>316</v>
      </c>
      <c r="C330" t="s">
        <v>317</v>
      </c>
      <c r="D330" t="s">
        <v>928</v>
      </c>
      <c r="E330">
        <v>6.7245234288268003</v>
      </c>
      <c r="F330">
        <f t="shared" si="24"/>
        <v>5303022.000000014</v>
      </c>
      <c r="G330">
        <f t="shared" si="25"/>
        <v>18695484364.999866</v>
      </c>
      <c r="H330" s="10">
        <f t="shared" si="26"/>
        <v>0.98469686588188099</v>
      </c>
      <c r="I330" s="11">
        <f t="shared" si="27"/>
        <v>2.7931178680123568E-4</v>
      </c>
      <c r="J330" t="s">
        <v>1268</v>
      </c>
      <c r="K330" t="s">
        <v>1510</v>
      </c>
      <c r="L330" t="s">
        <v>1986</v>
      </c>
    </row>
    <row r="331" spans="1:12">
      <c r="A331">
        <v>330</v>
      </c>
      <c r="B331" t="s">
        <v>334</v>
      </c>
      <c r="C331" t="s">
        <v>335</v>
      </c>
      <c r="D331" t="s">
        <v>928</v>
      </c>
      <c r="E331">
        <v>6.7189092195699001</v>
      </c>
      <c r="F331">
        <f t="shared" si="24"/>
        <v>5234909.9999999888</v>
      </c>
      <c r="G331">
        <f t="shared" si="25"/>
        <v>18700719274.999866</v>
      </c>
      <c r="H331" s="10">
        <f t="shared" si="26"/>
        <v>0.98497259018885985</v>
      </c>
      <c r="I331" s="11">
        <f t="shared" si="27"/>
        <v>2.7572430697886028E-4</v>
      </c>
      <c r="J331" t="s">
        <v>1269</v>
      </c>
      <c r="K331" t="s">
        <v>1510</v>
      </c>
      <c r="L331" t="s">
        <v>1987</v>
      </c>
    </row>
    <row r="332" spans="1:12">
      <c r="A332">
        <v>331</v>
      </c>
      <c r="B332" t="s">
        <v>336</v>
      </c>
      <c r="C332" t="s">
        <v>337</v>
      </c>
      <c r="D332" t="s">
        <v>928</v>
      </c>
      <c r="E332">
        <v>6.7117662853692996</v>
      </c>
      <c r="F332">
        <f t="shared" si="24"/>
        <v>5149514.4999999059</v>
      </c>
      <c r="G332">
        <f t="shared" si="25"/>
        <v>18705868789.499866</v>
      </c>
      <c r="H332" s="10">
        <f t="shared" si="26"/>
        <v>0.98524381668879779</v>
      </c>
      <c r="I332" s="11">
        <f t="shared" si="27"/>
        <v>2.7122649993793004E-4</v>
      </c>
      <c r="J332" t="s">
        <v>1270</v>
      </c>
      <c r="K332" t="s">
        <v>1988</v>
      </c>
      <c r="L332" t="s">
        <v>1989</v>
      </c>
    </row>
    <row r="333" spans="1:12">
      <c r="A333">
        <v>332</v>
      </c>
      <c r="B333" t="s">
        <v>660</v>
      </c>
      <c r="C333" t="s">
        <v>661</v>
      </c>
      <c r="D333" t="s">
        <v>928</v>
      </c>
      <c r="E333">
        <v>6.7072831914727598</v>
      </c>
      <c r="F333">
        <f t="shared" si="24"/>
        <v>5096630.9999999451</v>
      </c>
      <c r="G333">
        <f t="shared" si="25"/>
        <v>18710965420.499866</v>
      </c>
      <c r="H333" s="10">
        <f t="shared" si="26"/>
        <v>0.98551225779865481</v>
      </c>
      <c r="I333" s="11">
        <f t="shared" si="27"/>
        <v>2.6844110985708704E-4</v>
      </c>
      <c r="J333" t="s">
        <v>1271</v>
      </c>
      <c r="K333" t="s">
        <v>1990</v>
      </c>
      <c r="L333" t="s">
        <v>1991</v>
      </c>
    </row>
    <row r="334" spans="1:12">
      <c r="A334">
        <v>333</v>
      </c>
      <c r="B334" t="s">
        <v>226</v>
      </c>
      <c r="C334" t="s">
        <v>227</v>
      </c>
      <c r="D334" t="s">
        <v>928</v>
      </c>
      <c r="E334">
        <v>6.7062050720509401</v>
      </c>
      <c r="F334">
        <f t="shared" si="24"/>
        <v>5083994.4999999739</v>
      </c>
      <c r="G334">
        <f t="shared" si="25"/>
        <v>18716049414.999866</v>
      </c>
      <c r="H334" s="10">
        <f t="shared" si="26"/>
        <v>0.98578003334020126</v>
      </c>
      <c r="I334" s="11">
        <f t="shared" si="27"/>
        <v>2.6777554154643215E-4</v>
      </c>
      <c r="J334" t="s">
        <v>1272</v>
      </c>
      <c r="K334" t="s">
        <v>1510</v>
      </c>
      <c r="L334" t="s">
        <v>1992</v>
      </c>
    </row>
    <row r="335" spans="1:12">
      <c r="A335">
        <v>334</v>
      </c>
      <c r="B335" t="s">
        <v>400</v>
      </c>
      <c r="C335" t="s">
        <v>401</v>
      </c>
      <c r="D335" t="s">
        <v>928</v>
      </c>
      <c r="E335">
        <v>6.7026545194812401</v>
      </c>
      <c r="F335">
        <f t="shared" si="24"/>
        <v>5042599.9999999413</v>
      </c>
      <c r="G335">
        <f t="shared" si="25"/>
        <v>18721092014.999866</v>
      </c>
      <c r="H335" s="10">
        <f t="shared" si="26"/>
        <v>0.98604562862080236</v>
      </c>
      <c r="I335" s="11">
        <f t="shared" si="27"/>
        <v>2.6559528060111595E-4</v>
      </c>
      <c r="J335" t="s">
        <v>1273</v>
      </c>
      <c r="K335" t="s">
        <v>1923</v>
      </c>
      <c r="L335" t="s">
        <v>1993</v>
      </c>
    </row>
    <row r="336" spans="1:12">
      <c r="A336">
        <v>335</v>
      </c>
      <c r="B336" t="s">
        <v>64</v>
      </c>
      <c r="C336" t="s">
        <v>65</v>
      </c>
      <c r="D336" t="s">
        <v>928</v>
      </c>
      <c r="E336">
        <v>6.6865167324693999</v>
      </c>
      <c r="F336">
        <f t="shared" si="24"/>
        <v>4858662.4999999637</v>
      </c>
      <c r="G336">
        <f t="shared" si="25"/>
        <v>18725950677.499866</v>
      </c>
      <c r="H336" s="10">
        <f t="shared" si="26"/>
        <v>0.98630153585715541</v>
      </c>
      <c r="I336" s="11">
        <f t="shared" si="27"/>
        <v>2.5590723635299744E-4</v>
      </c>
      <c r="J336" t="s">
        <v>1274</v>
      </c>
      <c r="K336" t="s">
        <v>1888</v>
      </c>
      <c r="L336" t="s">
        <v>1994</v>
      </c>
    </row>
    <row r="337" spans="1:12">
      <c r="A337">
        <v>336</v>
      </c>
      <c r="B337" t="s">
        <v>458</v>
      </c>
      <c r="C337" t="s">
        <v>459</v>
      </c>
      <c r="D337" t="s">
        <v>928</v>
      </c>
      <c r="E337">
        <v>6.6809079694782803</v>
      </c>
      <c r="F337">
        <f t="shared" si="24"/>
        <v>4796317.9999999236</v>
      </c>
      <c r="G337">
        <f t="shared" si="25"/>
        <v>18730746995.499866</v>
      </c>
      <c r="H337" s="10">
        <f t="shared" si="26"/>
        <v>0.98655415938967084</v>
      </c>
      <c r="I337" s="11">
        <f t="shared" si="27"/>
        <v>2.5262353251540427E-4</v>
      </c>
      <c r="J337" t="s">
        <v>1275</v>
      </c>
      <c r="K337" t="s">
        <v>1995</v>
      </c>
      <c r="L337" t="s">
        <v>1996</v>
      </c>
    </row>
    <row r="338" spans="1:12">
      <c r="A338">
        <v>337</v>
      </c>
      <c r="B338" t="s">
        <v>594</v>
      </c>
      <c r="C338" t="s">
        <v>595</v>
      </c>
      <c r="D338" t="s">
        <v>928</v>
      </c>
      <c r="E338">
        <v>6.6640613061898497</v>
      </c>
      <c r="F338">
        <f t="shared" si="24"/>
        <v>4613826.9999999506</v>
      </c>
      <c r="G338">
        <f t="shared" si="25"/>
        <v>18735360822.499866</v>
      </c>
      <c r="H338" s="10">
        <f t="shared" si="26"/>
        <v>0.98679717106553444</v>
      </c>
      <c r="I338" s="11">
        <f t="shared" si="27"/>
        <v>2.4301167586364297E-4</v>
      </c>
      <c r="J338" t="s">
        <v>1276</v>
      </c>
      <c r="K338" t="s">
        <v>1510</v>
      </c>
      <c r="L338" t="s">
        <v>1997</v>
      </c>
    </row>
    <row r="339" spans="1:12">
      <c r="A339">
        <v>338</v>
      </c>
      <c r="B339" t="s">
        <v>712</v>
      </c>
      <c r="C339" t="s">
        <v>713</v>
      </c>
      <c r="D339" t="s">
        <v>928</v>
      </c>
      <c r="E339">
        <v>6.6611285352597998</v>
      </c>
      <c r="F339">
        <f t="shared" si="24"/>
        <v>4582774.9999999497</v>
      </c>
      <c r="G339">
        <f t="shared" si="25"/>
        <v>18739943597.499866</v>
      </c>
      <c r="H339" s="10">
        <f t="shared" si="26"/>
        <v>0.98703854722308348</v>
      </c>
      <c r="I339" s="11">
        <f t="shared" si="27"/>
        <v>2.4137615754903817E-4</v>
      </c>
      <c r="J339" t="s">
        <v>1277</v>
      </c>
      <c r="K339" t="s">
        <v>1998</v>
      </c>
      <c r="L339" t="s">
        <v>1999</v>
      </c>
    </row>
    <row r="340" spans="1:12">
      <c r="A340">
        <v>339</v>
      </c>
      <c r="B340" t="s">
        <v>158</v>
      </c>
      <c r="C340" t="s">
        <v>159</v>
      </c>
      <c r="D340" t="s">
        <v>928</v>
      </c>
      <c r="E340">
        <v>6.6567537505215899</v>
      </c>
      <c r="F340">
        <f t="shared" si="24"/>
        <v>4536842.9999999106</v>
      </c>
      <c r="G340">
        <f t="shared" si="25"/>
        <v>18744480440.499866</v>
      </c>
      <c r="H340" s="10">
        <f t="shared" si="26"/>
        <v>0.98727750412817772</v>
      </c>
      <c r="I340" s="11">
        <f t="shared" si="27"/>
        <v>2.3895690509423688E-4</v>
      </c>
      <c r="J340" t="s">
        <v>1278</v>
      </c>
      <c r="K340" t="s">
        <v>2000</v>
      </c>
      <c r="L340" t="s">
        <v>2001</v>
      </c>
    </row>
    <row r="341" spans="1:12">
      <c r="A341">
        <v>340</v>
      </c>
      <c r="B341" t="s">
        <v>108</v>
      </c>
      <c r="C341" t="s">
        <v>109</v>
      </c>
      <c r="D341" t="s">
        <v>928</v>
      </c>
      <c r="E341">
        <v>6.6556248219806804</v>
      </c>
      <c r="F341">
        <f t="shared" si="24"/>
        <v>4525064.9999999432</v>
      </c>
      <c r="G341">
        <f t="shared" si="25"/>
        <v>18749005505.499866</v>
      </c>
      <c r="H341" s="10">
        <f t="shared" si="26"/>
        <v>0.98751584068241827</v>
      </c>
      <c r="I341" s="11">
        <f t="shared" si="27"/>
        <v>2.3833655424052822E-4</v>
      </c>
      <c r="J341" t="s">
        <v>1279</v>
      </c>
      <c r="K341" t="s">
        <v>2002</v>
      </c>
      <c r="L341" t="s">
        <v>2003</v>
      </c>
    </row>
    <row r="342" spans="1:12">
      <c r="A342">
        <v>341</v>
      </c>
      <c r="B342" t="s">
        <v>710</v>
      </c>
      <c r="C342" t="s">
        <v>711</v>
      </c>
      <c r="D342" t="s">
        <v>928</v>
      </c>
      <c r="E342">
        <v>6.6496883823996598</v>
      </c>
      <c r="F342">
        <f t="shared" si="24"/>
        <v>4463631.9999999478</v>
      </c>
      <c r="G342">
        <f t="shared" si="25"/>
        <v>18753469137.499866</v>
      </c>
      <c r="H342" s="10">
        <f t="shared" si="26"/>
        <v>0.98775094154180432</v>
      </c>
      <c r="I342" s="11">
        <f t="shared" si="27"/>
        <v>2.3510085938605485E-4</v>
      </c>
      <c r="J342" t="s">
        <v>1280</v>
      </c>
      <c r="K342" t="s">
        <v>2004</v>
      </c>
      <c r="L342" t="s">
        <v>2005</v>
      </c>
    </row>
    <row r="343" spans="1:12">
      <c r="A343">
        <v>342</v>
      </c>
      <c r="B343" t="s">
        <v>820</v>
      </c>
      <c r="C343" t="s">
        <v>821</v>
      </c>
      <c r="D343" t="s">
        <v>928</v>
      </c>
      <c r="E343">
        <v>6.6478411828632504</v>
      </c>
      <c r="F343">
        <f t="shared" si="24"/>
        <v>4444686.9999999786</v>
      </c>
      <c r="G343">
        <f t="shared" si="25"/>
        <v>18757913824.499866</v>
      </c>
      <c r="H343" s="10">
        <f t="shared" si="26"/>
        <v>0.98798504456225988</v>
      </c>
      <c r="I343" s="11">
        <f t="shared" si="27"/>
        <v>2.3410302045554678E-4</v>
      </c>
      <c r="J343" t="s">
        <v>1281</v>
      </c>
      <c r="K343" t="s">
        <v>1995</v>
      </c>
      <c r="L343" t="s">
        <v>2006</v>
      </c>
    </row>
    <row r="344" spans="1:12">
      <c r="A344">
        <v>343</v>
      </c>
      <c r="B344" t="s">
        <v>836</v>
      </c>
      <c r="C344" t="s">
        <v>837</v>
      </c>
      <c r="D344" t="s">
        <v>928</v>
      </c>
      <c r="E344">
        <v>6.6377681790976597</v>
      </c>
      <c r="F344">
        <f t="shared" si="24"/>
        <v>4342783.4999999302</v>
      </c>
      <c r="G344">
        <f t="shared" si="25"/>
        <v>18762256607.999866</v>
      </c>
      <c r="H344" s="10">
        <f t="shared" si="26"/>
        <v>0.98821378029427753</v>
      </c>
      <c r="I344" s="11">
        <f t="shared" si="27"/>
        <v>2.2873573201768755E-4</v>
      </c>
      <c r="J344" t="s">
        <v>1282</v>
      </c>
      <c r="K344" t="s">
        <v>2007</v>
      </c>
      <c r="L344" t="s">
        <v>2008</v>
      </c>
    </row>
    <row r="345" spans="1:12">
      <c r="A345">
        <v>344</v>
      </c>
      <c r="B345" t="s">
        <v>382</v>
      </c>
      <c r="C345" t="s">
        <v>383</v>
      </c>
      <c r="D345" t="s">
        <v>928</v>
      </c>
      <c r="E345">
        <v>6.6327153119757298</v>
      </c>
      <c r="F345">
        <f t="shared" si="24"/>
        <v>4292549.4999999143</v>
      </c>
      <c r="G345">
        <f t="shared" si="25"/>
        <v>18766549157.499866</v>
      </c>
      <c r="H345" s="10">
        <f t="shared" si="26"/>
        <v>0.98843987018618784</v>
      </c>
      <c r="I345" s="11">
        <f t="shared" si="27"/>
        <v>2.2608989191025866E-4</v>
      </c>
      <c r="J345" t="s">
        <v>1283</v>
      </c>
      <c r="K345" t="s">
        <v>2009</v>
      </c>
      <c r="L345" t="s">
        <v>2010</v>
      </c>
    </row>
    <row r="346" spans="1:12">
      <c r="A346">
        <v>345</v>
      </c>
      <c r="B346" t="s">
        <v>326</v>
      </c>
      <c r="C346" t="s">
        <v>327</v>
      </c>
      <c r="D346" t="s">
        <v>928</v>
      </c>
      <c r="E346">
        <v>6.6318889462894299</v>
      </c>
      <c r="F346">
        <f t="shared" si="24"/>
        <v>4284389.4999999469</v>
      </c>
      <c r="G346">
        <f t="shared" si="25"/>
        <v>18770833546.999866</v>
      </c>
      <c r="H346" s="10">
        <f t="shared" si="26"/>
        <v>0.98866553028840831</v>
      </c>
      <c r="I346" s="11">
        <f t="shared" si="27"/>
        <v>2.2566010222047631E-4</v>
      </c>
      <c r="J346" t="s">
        <v>1284</v>
      </c>
      <c r="K346" t="s">
        <v>1510</v>
      </c>
      <c r="L346" t="s">
        <v>2011</v>
      </c>
    </row>
    <row r="347" spans="1:12">
      <c r="A347">
        <v>346</v>
      </c>
      <c r="B347" t="s">
        <v>830</v>
      </c>
      <c r="C347" t="s">
        <v>831</v>
      </c>
      <c r="D347" t="s">
        <v>928</v>
      </c>
      <c r="E347">
        <v>6.6214758468225998</v>
      </c>
      <c r="F347">
        <f t="shared" si="24"/>
        <v>4182884.2499999367</v>
      </c>
      <c r="G347">
        <f t="shared" si="25"/>
        <v>18775016431.249866</v>
      </c>
      <c r="H347" s="10">
        <f t="shared" si="26"/>
        <v>0.98888584407813995</v>
      </c>
      <c r="I347" s="11">
        <f t="shared" si="27"/>
        <v>2.2031378973163336E-4</v>
      </c>
      <c r="J347" t="s">
        <v>1285</v>
      </c>
      <c r="K347" t="s">
        <v>1743</v>
      </c>
      <c r="L347" t="s">
        <v>2012</v>
      </c>
    </row>
    <row r="348" spans="1:12">
      <c r="A348">
        <v>347</v>
      </c>
      <c r="B348" t="s">
        <v>450</v>
      </c>
      <c r="C348" t="s">
        <v>451</v>
      </c>
      <c r="D348" t="s">
        <v>928</v>
      </c>
      <c r="E348">
        <v>6.6173375489378801</v>
      </c>
      <c r="F348">
        <f t="shared" si="24"/>
        <v>4143215.7499999492</v>
      </c>
      <c r="G348">
        <f t="shared" si="25"/>
        <v>18779159646.999866</v>
      </c>
      <c r="H348" s="10">
        <f t="shared" si="26"/>
        <v>0.98910406851587285</v>
      </c>
      <c r="I348" s="11">
        <f t="shared" si="27"/>
        <v>2.1822443773295765E-4</v>
      </c>
      <c r="J348" t="s">
        <v>1286</v>
      </c>
      <c r="K348" t="s">
        <v>2013</v>
      </c>
      <c r="L348" t="s">
        <v>2014</v>
      </c>
    </row>
    <row r="349" spans="1:12">
      <c r="A349">
        <v>348</v>
      </c>
      <c r="B349" t="s">
        <v>202</v>
      </c>
      <c r="C349" t="s">
        <v>203</v>
      </c>
      <c r="D349" t="s">
        <v>928</v>
      </c>
      <c r="E349">
        <v>6.6169386018769796</v>
      </c>
      <c r="F349">
        <f t="shared" si="24"/>
        <v>4139411.4999999544</v>
      </c>
      <c r="G349">
        <f t="shared" si="25"/>
        <v>18783299058.499866</v>
      </c>
      <c r="H349" s="10">
        <f t="shared" si="26"/>
        <v>0.98932209258259762</v>
      </c>
      <c r="I349" s="11">
        <f t="shared" si="27"/>
        <v>2.180240667247029E-4</v>
      </c>
      <c r="J349" t="s">
        <v>1287</v>
      </c>
      <c r="K349" t="s">
        <v>2015</v>
      </c>
      <c r="L349" t="s">
        <v>2016</v>
      </c>
    </row>
    <row r="350" spans="1:12">
      <c r="A350">
        <v>349</v>
      </c>
      <c r="B350" t="s">
        <v>466</v>
      </c>
      <c r="C350" t="s">
        <v>467</v>
      </c>
      <c r="D350" t="s">
        <v>928</v>
      </c>
      <c r="E350">
        <v>6.6161774446491997</v>
      </c>
      <c r="F350">
        <f t="shared" si="24"/>
        <v>4132162.9999999204</v>
      </c>
      <c r="G350">
        <f t="shared" si="25"/>
        <v>18787431221.499866</v>
      </c>
      <c r="H350" s="10">
        <f t="shared" si="26"/>
        <v>0.98953973486861568</v>
      </c>
      <c r="I350" s="11">
        <f t="shared" si="27"/>
        <v>2.1764228601803447E-4</v>
      </c>
      <c r="J350" t="s">
        <v>1288</v>
      </c>
      <c r="K350" t="s">
        <v>2017</v>
      </c>
      <c r="L350" t="s">
        <v>2018</v>
      </c>
    </row>
    <row r="351" spans="1:12">
      <c r="A351">
        <v>350</v>
      </c>
      <c r="B351" t="s">
        <v>464</v>
      </c>
      <c r="C351" t="s">
        <v>465</v>
      </c>
      <c r="D351" t="s">
        <v>928</v>
      </c>
      <c r="E351">
        <v>6.60573406367799</v>
      </c>
      <c r="F351">
        <f t="shared" si="24"/>
        <v>4033982.9999999278</v>
      </c>
      <c r="G351">
        <f t="shared" si="25"/>
        <v>18791465204.499866</v>
      </c>
      <c r="H351" s="10">
        <f t="shared" si="26"/>
        <v>0.98975220598407698</v>
      </c>
      <c r="I351" s="11">
        <f t="shared" si="27"/>
        <v>2.1247111546129471E-4</v>
      </c>
      <c r="J351" t="s">
        <v>1289</v>
      </c>
      <c r="K351" t="s">
        <v>1510</v>
      </c>
      <c r="L351" t="s">
        <v>2019</v>
      </c>
    </row>
    <row r="352" spans="1:12">
      <c r="A352">
        <v>351</v>
      </c>
      <c r="B352" t="s">
        <v>512</v>
      </c>
      <c r="C352" t="s">
        <v>513</v>
      </c>
      <c r="D352" t="s">
        <v>928</v>
      </c>
      <c r="E352">
        <v>6.6018417306584398</v>
      </c>
      <c r="F352">
        <f t="shared" si="24"/>
        <v>3997990.2499999478</v>
      </c>
      <c r="G352">
        <f t="shared" si="25"/>
        <v>18795463194.749866</v>
      </c>
      <c r="H352" s="10">
        <f t="shared" si="26"/>
        <v>0.9899627813504136</v>
      </c>
      <c r="I352" s="11">
        <f t="shared" si="27"/>
        <v>2.1057536633666641E-4</v>
      </c>
      <c r="J352" t="s">
        <v>1290</v>
      </c>
      <c r="K352" t="s">
        <v>2020</v>
      </c>
      <c r="L352" t="s">
        <v>2021</v>
      </c>
    </row>
    <row r="353" spans="1:12">
      <c r="A353">
        <v>352</v>
      </c>
      <c r="B353" t="s">
        <v>230</v>
      </c>
      <c r="C353" t="s">
        <v>231</v>
      </c>
      <c r="D353" t="s">
        <v>928</v>
      </c>
      <c r="E353">
        <v>6.5970544032493903</v>
      </c>
      <c r="F353">
        <f t="shared" si="24"/>
        <v>3954161.4999999502</v>
      </c>
      <c r="G353">
        <f t="shared" si="25"/>
        <v>18799417356.249866</v>
      </c>
      <c r="H353" s="10">
        <f t="shared" si="26"/>
        <v>0.99017104824311475</v>
      </c>
      <c r="I353" s="11">
        <f t="shared" si="27"/>
        <v>2.082668927011122E-4</v>
      </c>
      <c r="J353" t="s">
        <v>1291</v>
      </c>
      <c r="K353" t="s">
        <v>1510</v>
      </c>
      <c r="L353" t="s">
        <v>2022</v>
      </c>
    </row>
    <row r="354" spans="1:12">
      <c r="A354">
        <v>353</v>
      </c>
      <c r="B354" t="s">
        <v>610</v>
      </c>
      <c r="C354" t="s">
        <v>611</v>
      </c>
      <c r="D354" t="s">
        <v>928</v>
      </c>
      <c r="E354">
        <v>6.5970075298042996</v>
      </c>
      <c r="F354">
        <f t="shared" si="24"/>
        <v>3953734.7499999558</v>
      </c>
      <c r="G354">
        <f t="shared" si="25"/>
        <v>18803371090.999866</v>
      </c>
      <c r="H354" s="10">
        <f t="shared" si="26"/>
        <v>0.99037929265876312</v>
      </c>
      <c r="I354" s="11">
        <f t="shared" si="27"/>
        <v>2.0824441564840229E-4</v>
      </c>
      <c r="J354" t="s">
        <v>1292</v>
      </c>
      <c r="K354" t="s">
        <v>2023</v>
      </c>
      <c r="L354" t="s">
        <v>2024</v>
      </c>
    </row>
    <row r="355" spans="1:12">
      <c r="A355">
        <v>354</v>
      </c>
      <c r="B355" t="s">
        <v>74</v>
      </c>
      <c r="C355" t="s">
        <v>75</v>
      </c>
      <c r="D355" t="s">
        <v>928</v>
      </c>
      <c r="E355">
        <v>6.58822799500442</v>
      </c>
      <c r="F355">
        <f t="shared" si="24"/>
        <v>3874609.9999999944</v>
      </c>
      <c r="G355">
        <f t="shared" si="25"/>
        <v>18807245700.999866</v>
      </c>
      <c r="H355" s="10">
        <f t="shared" si="26"/>
        <v>0.9905833695496864</v>
      </c>
      <c r="I355" s="11">
        <f t="shared" si="27"/>
        <v>2.0407689092331342E-4</v>
      </c>
      <c r="J355" t="s">
        <v>1293</v>
      </c>
      <c r="K355" t="s">
        <v>1510</v>
      </c>
      <c r="L355" t="s">
        <v>2025</v>
      </c>
    </row>
    <row r="356" spans="1:12">
      <c r="A356">
        <v>355</v>
      </c>
      <c r="B356" t="s">
        <v>78</v>
      </c>
      <c r="C356" t="s">
        <v>79</v>
      </c>
      <c r="D356" t="s">
        <v>928</v>
      </c>
      <c r="E356">
        <v>6.5861052910656204</v>
      </c>
      <c r="F356">
        <f t="shared" si="24"/>
        <v>3855718.2499999511</v>
      </c>
      <c r="G356">
        <f t="shared" si="25"/>
        <v>18811101419.249866</v>
      </c>
      <c r="H356" s="10">
        <f t="shared" si="26"/>
        <v>0.990786451406373</v>
      </c>
      <c r="I356" s="11">
        <f t="shared" si="27"/>
        <v>2.0308185668654912E-4</v>
      </c>
      <c r="J356" t="s">
        <v>1294</v>
      </c>
      <c r="K356" t="s">
        <v>2026</v>
      </c>
      <c r="L356" t="s">
        <v>2027</v>
      </c>
    </row>
    <row r="357" spans="1:12">
      <c r="A357">
        <v>356</v>
      </c>
      <c r="B357" t="s">
        <v>478</v>
      </c>
      <c r="C357" t="s">
        <v>479</v>
      </c>
      <c r="D357" t="s">
        <v>928</v>
      </c>
      <c r="E357">
        <v>6.5859441910415804</v>
      </c>
      <c r="F357">
        <f t="shared" si="24"/>
        <v>3854288.2499999329</v>
      </c>
      <c r="G357">
        <f t="shared" si="25"/>
        <v>18814955707.499866</v>
      </c>
      <c r="H357" s="10">
        <f t="shared" si="26"/>
        <v>0.9909894579445232</v>
      </c>
      <c r="I357" s="11">
        <f t="shared" si="27"/>
        <v>2.030065381502257E-4</v>
      </c>
      <c r="J357" t="s">
        <v>1295</v>
      </c>
      <c r="K357" t="s">
        <v>2028</v>
      </c>
      <c r="L357" t="s">
        <v>2029</v>
      </c>
    </row>
    <row r="358" spans="1:12">
      <c r="A358">
        <v>357</v>
      </c>
      <c r="B358" t="s">
        <v>728</v>
      </c>
      <c r="C358" t="s">
        <v>729</v>
      </c>
      <c r="D358" t="s">
        <v>928</v>
      </c>
      <c r="E358">
        <v>6.5847710075284702</v>
      </c>
      <c r="F358">
        <f t="shared" si="24"/>
        <v>3843890.4999999427</v>
      </c>
      <c r="G358">
        <f t="shared" si="25"/>
        <v>18818799597.999866</v>
      </c>
      <c r="H358" s="10">
        <f t="shared" si="26"/>
        <v>0.9911919168300084</v>
      </c>
      <c r="I358" s="11">
        <f t="shared" si="27"/>
        <v>2.0245888548515854E-4</v>
      </c>
      <c r="J358" t="s">
        <v>1296</v>
      </c>
      <c r="K358" t="s">
        <v>2030</v>
      </c>
      <c r="L358" t="s">
        <v>2031</v>
      </c>
    </row>
    <row r="359" spans="1:12">
      <c r="A359">
        <v>358</v>
      </c>
      <c r="B359" t="s">
        <v>352</v>
      </c>
      <c r="C359" t="s">
        <v>353</v>
      </c>
      <c r="D359" t="s">
        <v>928</v>
      </c>
      <c r="E359">
        <v>6.57860878537074</v>
      </c>
      <c r="F359">
        <f t="shared" si="24"/>
        <v>3789734.4999999339</v>
      </c>
      <c r="G359">
        <f t="shared" si="25"/>
        <v>18822589332.499866</v>
      </c>
      <c r="H359" s="10">
        <f t="shared" si="26"/>
        <v>0.9913915233024494</v>
      </c>
      <c r="I359" s="11">
        <f t="shared" si="27"/>
        <v>1.9960647244104707E-4</v>
      </c>
      <c r="J359" t="s">
        <v>1297</v>
      </c>
      <c r="K359" t="s">
        <v>2032</v>
      </c>
      <c r="L359" t="s">
        <v>2033</v>
      </c>
    </row>
    <row r="360" spans="1:12">
      <c r="A360">
        <v>359</v>
      </c>
      <c r="B360" t="s">
        <v>68</v>
      </c>
      <c r="C360" t="s">
        <v>69</v>
      </c>
      <c r="D360" t="s">
        <v>928</v>
      </c>
      <c r="E360">
        <v>6.5768958734763299</v>
      </c>
      <c r="F360">
        <f t="shared" si="24"/>
        <v>3774816.7499999949</v>
      </c>
      <c r="G360">
        <f t="shared" si="25"/>
        <v>18826364149.249866</v>
      </c>
      <c r="H360" s="10">
        <f t="shared" si="26"/>
        <v>0.99159034405244628</v>
      </c>
      <c r="I360" s="11">
        <f t="shared" si="27"/>
        <v>1.988207499968375E-4</v>
      </c>
      <c r="J360" t="s">
        <v>1298</v>
      </c>
      <c r="K360" t="s">
        <v>2034</v>
      </c>
      <c r="L360" t="s">
        <v>2035</v>
      </c>
    </row>
    <row r="361" spans="1:12">
      <c r="A361">
        <v>360</v>
      </c>
      <c r="B361" t="s">
        <v>300</v>
      </c>
      <c r="C361" t="s">
        <v>301</v>
      </c>
      <c r="D361" t="s">
        <v>928</v>
      </c>
      <c r="E361">
        <v>6.57599521669081</v>
      </c>
      <c r="F361">
        <f t="shared" si="24"/>
        <v>3766996.4999999241</v>
      </c>
      <c r="G361">
        <f t="shared" si="25"/>
        <v>18830131145.749866</v>
      </c>
      <c r="H361" s="10">
        <f t="shared" si="26"/>
        <v>0.99178875290748947</v>
      </c>
      <c r="I361" s="11">
        <f t="shared" si="27"/>
        <v>1.9840885504321442E-4</v>
      </c>
      <c r="J361" t="s">
        <v>1299</v>
      </c>
      <c r="K361" t="s">
        <v>2036</v>
      </c>
      <c r="L361" t="s">
        <v>2037</v>
      </c>
    </row>
    <row r="362" spans="1:12">
      <c r="A362">
        <v>361</v>
      </c>
      <c r="B362" t="s">
        <v>913</v>
      </c>
      <c r="C362" t="s">
        <v>914</v>
      </c>
      <c r="D362" t="s">
        <v>928</v>
      </c>
      <c r="E362">
        <v>6.5753986171783598</v>
      </c>
      <c r="F362">
        <f t="shared" si="24"/>
        <v>3761825.2500000056</v>
      </c>
      <c r="G362">
        <f t="shared" si="25"/>
        <v>18833892970.999866</v>
      </c>
      <c r="H362" s="10">
        <f t="shared" si="26"/>
        <v>0.99198688939121737</v>
      </c>
      <c r="I362" s="11">
        <f t="shared" si="27"/>
        <v>1.9813648372786382E-4</v>
      </c>
      <c r="J362" t="s">
        <v>1386</v>
      </c>
    </row>
    <row r="363" spans="1:12">
      <c r="A363">
        <v>362</v>
      </c>
      <c r="B363" t="s">
        <v>96</v>
      </c>
      <c r="C363" t="s">
        <v>97</v>
      </c>
      <c r="D363" t="s">
        <v>928</v>
      </c>
      <c r="E363">
        <v>6.5707442797579798</v>
      </c>
      <c r="F363">
        <f t="shared" si="24"/>
        <v>3721724.9999999339</v>
      </c>
      <c r="G363">
        <f t="shared" si="25"/>
        <v>18837614695.999866</v>
      </c>
      <c r="H363" s="10">
        <f t="shared" si="26"/>
        <v>0.99218291378254231</v>
      </c>
      <c r="I363" s="11">
        <f t="shared" si="27"/>
        <v>1.9602439132494786E-4</v>
      </c>
      <c r="J363" t="s">
        <v>1300</v>
      </c>
      <c r="K363" t="s">
        <v>2038</v>
      </c>
      <c r="L363" t="s">
        <v>2039</v>
      </c>
    </row>
    <row r="364" spans="1:12">
      <c r="A364">
        <v>363</v>
      </c>
      <c r="B364" t="s">
        <v>378</v>
      </c>
      <c r="C364" t="s">
        <v>379</v>
      </c>
      <c r="D364" t="s">
        <v>928</v>
      </c>
      <c r="E364">
        <v>6.5680112089423899</v>
      </c>
      <c r="F364">
        <f t="shared" si="24"/>
        <v>3698377.2499999576</v>
      </c>
      <c r="G364">
        <f t="shared" si="25"/>
        <v>18841313073.249866</v>
      </c>
      <c r="H364" s="10">
        <f t="shared" si="26"/>
        <v>0.99237770844075091</v>
      </c>
      <c r="I364" s="11">
        <f t="shared" si="27"/>
        <v>1.9479465820856971E-4</v>
      </c>
      <c r="J364" t="s">
        <v>1301</v>
      </c>
      <c r="K364" t="s">
        <v>2040</v>
      </c>
      <c r="L364" t="s">
        <v>2041</v>
      </c>
    </row>
    <row r="365" spans="1:12">
      <c r="A365">
        <v>364</v>
      </c>
      <c r="B365" t="s">
        <v>280</v>
      </c>
      <c r="C365" t="s">
        <v>281</v>
      </c>
      <c r="D365" t="s">
        <v>928</v>
      </c>
      <c r="E365">
        <v>6.5620340549305798</v>
      </c>
      <c r="F365">
        <f t="shared" si="24"/>
        <v>3647825.4999999744</v>
      </c>
      <c r="G365">
        <f t="shared" si="25"/>
        <v>18844960898.749866</v>
      </c>
      <c r="H365" s="10">
        <f t="shared" si="26"/>
        <v>0.99256984052286257</v>
      </c>
      <c r="I365" s="11">
        <f t="shared" si="27"/>
        <v>1.9213208211169049E-4</v>
      </c>
      <c r="J365" t="s">
        <v>1302</v>
      </c>
      <c r="K365" t="s">
        <v>2042</v>
      </c>
      <c r="L365" t="s">
        <v>2043</v>
      </c>
    </row>
    <row r="366" spans="1:12">
      <c r="A366">
        <v>365</v>
      </c>
      <c r="B366" t="s">
        <v>116</v>
      </c>
      <c r="C366" t="s">
        <v>117</v>
      </c>
      <c r="D366" t="s">
        <v>928</v>
      </c>
      <c r="E366">
        <v>6.5563803953540098</v>
      </c>
      <c r="F366">
        <f t="shared" si="24"/>
        <v>3600645.7499999492</v>
      </c>
      <c r="G366">
        <f t="shared" si="25"/>
        <v>18848561544.499866</v>
      </c>
      <c r="H366" s="10">
        <f t="shared" si="26"/>
        <v>0.99275948763314625</v>
      </c>
      <c r="I366" s="11">
        <f t="shared" si="27"/>
        <v>1.896471102836757E-4</v>
      </c>
      <c r="J366" t="s">
        <v>1303</v>
      </c>
      <c r="K366" t="s">
        <v>2044</v>
      </c>
      <c r="L366" t="s">
        <v>2045</v>
      </c>
    </row>
    <row r="367" spans="1:12">
      <c r="A367">
        <v>366</v>
      </c>
      <c r="B367" t="s">
        <v>618</v>
      </c>
      <c r="C367" t="s">
        <v>619</v>
      </c>
      <c r="D367" t="s">
        <v>928</v>
      </c>
      <c r="E367">
        <v>6.5547018940174997</v>
      </c>
      <c r="F367">
        <f t="shared" si="24"/>
        <v>3586756.4999999548</v>
      </c>
      <c r="G367">
        <f t="shared" si="25"/>
        <v>18852148300.999866</v>
      </c>
      <c r="H367" s="10">
        <f t="shared" si="26"/>
        <v>0.99294840319239452</v>
      </c>
      <c r="I367" s="11">
        <f t="shared" si="27"/>
        <v>1.8891555924827977E-4</v>
      </c>
      <c r="J367" t="s">
        <v>1304</v>
      </c>
      <c r="K367" t="s">
        <v>2046</v>
      </c>
      <c r="L367" t="s">
        <v>2047</v>
      </c>
    </row>
    <row r="368" spans="1:12">
      <c r="A368">
        <v>367</v>
      </c>
      <c r="B368" t="s">
        <v>112</v>
      </c>
      <c r="C368" t="s">
        <v>113</v>
      </c>
      <c r="D368" t="s">
        <v>928</v>
      </c>
      <c r="E368">
        <v>6.5529418449032901</v>
      </c>
      <c r="F368">
        <f t="shared" si="24"/>
        <v>3572250.0000000028</v>
      </c>
      <c r="G368">
        <f t="shared" si="25"/>
        <v>18855720550.999866</v>
      </c>
      <c r="H368" s="10">
        <f t="shared" si="26"/>
        <v>0.99313655468986162</v>
      </c>
      <c r="I368" s="11">
        <f t="shared" si="27"/>
        <v>1.8815149746705036E-4</v>
      </c>
      <c r="J368" t="s">
        <v>1305</v>
      </c>
      <c r="K368" t="s">
        <v>2048</v>
      </c>
      <c r="L368" t="s">
        <v>2049</v>
      </c>
    </row>
    <row r="369" spans="1:12">
      <c r="A369">
        <v>368</v>
      </c>
      <c r="B369" t="s">
        <v>58</v>
      </c>
      <c r="C369" t="s">
        <v>59</v>
      </c>
      <c r="D369" t="s">
        <v>928</v>
      </c>
      <c r="E369">
        <v>6.5478914755343904</v>
      </c>
      <c r="F369">
        <f t="shared" si="24"/>
        <v>3530949.2499999725</v>
      </c>
      <c r="G369">
        <f t="shared" si="25"/>
        <v>18859251500.249866</v>
      </c>
      <c r="H369" s="10">
        <f t="shared" si="26"/>
        <v>0.9933225308642244</v>
      </c>
      <c r="I369" s="11">
        <f t="shared" si="27"/>
        <v>1.8597617436283929E-4</v>
      </c>
      <c r="J369" t="s">
        <v>1306</v>
      </c>
      <c r="K369" t="s">
        <v>2050</v>
      </c>
      <c r="L369" t="s">
        <v>2051</v>
      </c>
    </row>
    <row r="370" spans="1:12">
      <c r="A370">
        <v>369</v>
      </c>
      <c r="B370" t="s">
        <v>152</v>
      </c>
      <c r="C370" t="s">
        <v>153</v>
      </c>
      <c r="D370" t="s">
        <v>928</v>
      </c>
      <c r="E370">
        <v>6.5405930065628199</v>
      </c>
      <c r="F370">
        <f t="shared" si="24"/>
        <v>3472106.2499999474</v>
      </c>
      <c r="G370">
        <f t="shared" si="25"/>
        <v>18862723606.499866</v>
      </c>
      <c r="H370" s="10">
        <f t="shared" si="26"/>
        <v>0.99350540775982299</v>
      </c>
      <c r="I370" s="11">
        <f t="shared" si="27"/>
        <v>1.8287689559862673E-4</v>
      </c>
      <c r="J370" t="s">
        <v>1307</v>
      </c>
      <c r="K370" t="s">
        <v>2052</v>
      </c>
      <c r="L370" t="s">
        <v>2053</v>
      </c>
    </row>
    <row r="371" spans="1:12">
      <c r="A371">
        <v>370</v>
      </c>
      <c r="B371" t="s">
        <v>488</v>
      </c>
      <c r="C371" t="s">
        <v>489</v>
      </c>
      <c r="D371" t="s">
        <v>928</v>
      </c>
      <c r="E371">
        <v>6.5359381201412203</v>
      </c>
      <c r="F371">
        <f t="shared" si="24"/>
        <v>3435089.9999999632</v>
      </c>
      <c r="G371">
        <f t="shared" si="25"/>
        <v>18866158696.499866</v>
      </c>
      <c r="H371" s="10">
        <f t="shared" si="26"/>
        <v>0.99368633499823977</v>
      </c>
      <c r="I371" s="11">
        <f t="shared" si="27"/>
        <v>1.8092723841670727E-4</v>
      </c>
      <c r="J371" t="s">
        <v>1308</v>
      </c>
      <c r="K371" t="s">
        <v>2054</v>
      </c>
      <c r="L371" t="s">
        <v>2055</v>
      </c>
    </row>
    <row r="372" spans="1:12">
      <c r="A372">
        <v>371</v>
      </c>
      <c r="B372" t="s">
        <v>368</v>
      </c>
      <c r="C372" t="s">
        <v>369</v>
      </c>
      <c r="D372" t="s">
        <v>928</v>
      </c>
      <c r="E372">
        <v>6.5338792211118797</v>
      </c>
      <c r="F372">
        <f t="shared" si="24"/>
        <v>3418843.4999999451</v>
      </c>
      <c r="G372">
        <f t="shared" si="25"/>
        <v>18869577539.999866</v>
      </c>
      <c r="H372" s="10">
        <f t="shared" si="26"/>
        <v>0.9938664065285443</v>
      </c>
      <c r="I372" s="11">
        <f t="shared" si="27"/>
        <v>1.8007153030456455E-4</v>
      </c>
      <c r="J372" t="s">
        <v>1309</v>
      </c>
      <c r="K372" t="s">
        <v>1510</v>
      </c>
      <c r="L372" t="s">
        <v>2056</v>
      </c>
    </row>
    <row r="373" spans="1:12">
      <c r="A373">
        <v>372</v>
      </c>
      <c r="B373" t="s">
        <v>340</v>
      </c>
      <c r="C373" t="s">
        <v>341</v>
      </c>
      <c r="D373" t="s">
        <v>928</v>
      </c>
      <c r="E373">
        <v>6.5306814145492096</v>
      </c>
      <c r="F373">
        <f t="shared" si="24"/>
        <v>3393762.249999946</v>
      </c>
      <c r="G373">
        <f t="shared" si="25"/>
        <v>18872971302.249866</v>
      </c>
      <c r="H373" s="10">
        <f t="shared" si="26"/>
        <v>0.99404515702175855</v>
      </c>
      <c r="I373" s="11">
        <f t="shared" si="27"/>
        <v>1.7875049321425864E-4</v>
      </c>
      <c r="J373" s="12" t="s">
        <v>1310</v>
      </c>
      <c r="K373" t="s">
        <v>2057</v>
      </c>
      <c r="L373" t="s">
        <v>2058</v>
      </c>
    </row>
    <row r="374" spans="1:12">
      <c r="A374">
        <v>373</v>
      </c>
      <c r="B374" t="s">
        <v>284</v>
      </c>
      <c r="C374" t="s">
        <v>285</v>
      </c>
      <c r="D374" t="s">
        <v>928</v>
      </c>
      <c r="E374">
        <v>6.5292652808289402</v>
      </c>
      <c r="F374">
        <f t="shared" si="24"/>
        <v>3382713.9999999823</v>
      </c>
      <c r="G374">
        <f t="shared" si="25"/>
        <v>18876354016.249866</v>
      </c>
      <c r="H374" s="10">
        <f t="shared" si="26"/>
        <v>0.99422332560027427</v>
      </c>
      <c r="I374" s="11">
        <f t="shared" si="27"/>
        <v>1.7816857851571193E-4</v>
      </c>
      <c r="J374" t="s">
        <v>1311</v>
      </c>
      <c r="K374" t="s">
        <v>1510</v>
      </c>
      <c r="L374" t="s">
        <v>2059</v>
      </c>
    </row>
    <row r="375" spans="1:12">
      <c r="A375">
        <v>374</v>
      </c>
      <c r="B375" t="s">
        <v>148</v>
      </c>
      <c r="C375" t="s">
        <v>149</v>
      </c>
      <c r="D375" t="s">
        <v>928</v>
      </c>
      <c r="E375">
        <v>6.5253480914612902</v>
      </c>
      <c r="F375">
        <f t="shared" si="24"/>
        <v>3352340.2500000033</v>
      </c>
      <c r="G375">
        <f t="shared" si="25"/>
        <v>18879706356.499866</v>
      </c>
      <c r="H375" s="10">
        <f t="shared" si="26"/>
        <v>0.99439989438410981</v>
      </c>
      <c r="I375" s="11">
        <f t="shared" si="27"/>
        <v>1.7656878383555632E-4</v>
      </c>
      <c r="J375" t="s">
        <v>1312</v>
      </c>
      <c r="K375" t="s">
        <v>2060</v>
      </c>
      <c r="L375" t="s">
        <v>2061</v>
      </c>
    </row>
    <row r="376" spans="1:12">
      <c r="A376">
        <v>375</v>
      </c>
      <c r="B376" t="s">
        <v>114</v>
      </c>
      <c r="C376" t="s">
        <v>115</v>
      </c>
      <c r="D376" t="s">
        <v>928</v>
      </c>
      <c r="E376">
        <v>6.5177571808207704</v>
      </c>
      <c r="F376">
        <f t="shared" si="24"/>
        <v>3294254.7499999739</v>
      </c>
      <c r="G376">
        <f t="shared" si="25"/>
        <v>18883000611.249866</v>
      </c>
      <c r="H376" s="10">
        <f t="shared" si="26"/>
        <v>0.99457340378693737</v>
      </c>
      <c r="I376" s="11">
        <f t="shared" si="27"/>
        <v>1.7350940282747238E-4</v>
      </c>
      <c r="J376" t="s">
        <v>1313</v>
      </c>
      <c r="K376" t="s">
        <v>2062</v>
      </c>
      <c r="L376" t="s">
        <v>2063</v>
      </c>
    </row>
    <row r="377" spans="1:12">
      <c r="A377">
        <v>376</v>
      </c>
      <c r="B377" t="s">
        <v>354</v>
      </c>
      <c r="C377" t="s">
        <v>355</v>
      </c>
      <c r="D377" t="s">
        <v>928</v>
      </c>
      <c r="E377">
        <v>6.5122998500599296</v>
      </c>
      <c r="F377">
        <f t="shared" si="24"/>
        <v>3253118.2499999651</v>
      </c>
      <c r="G377">
        <f t="shared" si="25"/>
        <v>18886253729.499866</v>
      </c>
      <c r="H377" s="10">
        <f t="shared" si="26"/>
        <v>0.99474474651775824</v>
      </c>
      <c r="I377" s="11">
        <f t="shared" si="27"/>
        <v>1.7134273082087851E-4</v>
      </c>
      <c r="J377" t="s">
        <v>1314</v>
      </c>
      <c r="K377" t="s">
        <v>2064</v>
      </c>
      <c r="L377" t="s">
        <v>2065</v>
      </c>
    </row>
    <row r="378" spans="1:12">
      <c r="A378">
        <v>377</v>
      </c>
      <c r="B378" t="s">
        <v>406</v>
      </c>
      <c r="C378" t="s">
        <v>407</v>
      </c>
      <c r="D378" t="s">
        <v>928</v>
      </c>
      <c r="E378">
        <v>6.50776229273366</v>
      </c>
      <c r="F378">
        <f t="shared" si="24"/>
        <v>3219306.2500000014</v>
      </c>
      <c r="G378">
        <f t="shared" si="25"/>
        <v>18889473035.749866</v>
      </c>
      <c r="H378" s="10">
        <f t="shared" si="26"/>
        <v>0.99491430836022232</v>
      </c>
      <c r="I378" s="11">
        <f t="shared" si="27"/>
        <v>1.6956184246414281E-4</v>
      </c>
      <c r="J378" t="s">
        <v>1315</v>
      </c>
      <c r="K378" t="s">
        <v>2066</v>
      </c>
      <c r="L378" t="s">
        <v>2067</v>
      </c>
    </row>
    <row r="379" spans="1:12">
      <c r="A379">
        <v>378</v>
      </c>
      <c r="B379" t="s">
        <v>448</v>
      </c>
      <c r="C379" t="s">
        <v>449</v>
      </c>
      <c r="D379" t="s">
        <v>928</v>
      </c>
      <c r="E379">
        <v>6.5023596147233098</v>
      </c>
      <c r="F379">
        <f t="shared" si="24"/>
        <v>3179505.7499999572</v>
      </c>
      <c r="G379">
        <f t="shared" si="25"/>
        <v>18892652541.499866</v>
      </c>
      <c r="H379" s="10">
        <f t="shared" si="26"/>
        <v>0.99508177389820751</v>
      </c>
      <c r="I379" s="11">
        <f t="shared" si="27"/>
        <v>1.6746553798518819E-4</v>
      </c>
      <c r="J379" t="s">
        <v>1316</v>
      </c>
      <c r="K379" t="s">
        <v>2068</v>
      </c>
      <c r="L379" t="s">
        <v>2069</v>
      </c>
    </row>
    <row r="380" spans="1:12">
      <c r="A380">
        <v>379</v>
      </c>
      <c r="B380" t="s">
        <v>544</v>
      </c>
      <c r="C380" t="s">
        <v>545</v>
      </c>
      <c r="D380" t="s">
        <v>928</v>
      </c>
      <c r="E380">
        <v>6.4843240808458003</v>
      </c>
      <c r="F380">
        <f t="shared" si="24"/>
        <v>3050170.2499999758</v>
      </c>
      <c r="G380">
        <f t="shared" si="25"/>
        <v>18895702711.749866</v>
      </c>
      <c r="H380" s="10">
        <f t="shared" si="26"/>
        <v>0.99524242729594481</v>
      </c>
      <c r="I380" s="11">
        <f t="shared" si="27"/>
        <v>1.6065339773726429E-4</v>
      </c>
      <c r="J380" t="s">
        <v>1317</v>
      </c>
      <c r="K380" t="s">
        <v>1662</v>
      </c>
      <c r="L380" t="s">
        <v>2070</v>
      </c>
    </row>
    <row r="381" spans="1:12">
      <c r="A381">
        <v>380</v>
      </c>
      <c r="B381" t="s">
        <v>296</v>
      </c>
      <c r="C381" t="s">
        <v>297</v>
      </c>
      <c r="D381" t="s">
        <v>928</v>
      </c>
      <c r="E381">
        <v>6.4794537281297799</v>
      </c>
      <c r="F381">
        <f t="shared" si="24"/>
        <v>3016155.4999999735</v>
      </c>
      <c r="G381">
        <f t="shared" si="25"/>
        <v>18898718867.249866</v>
      </c>
      <c r="H381" s="10">
        <f t="shared" si="26"/>
        <v>0.99540128912642101</v>
      </c>
      <c r="I381" s="11">
        <f t="shared" si="27"/>
        <v>1.5886183047616337E-4</v>
      </c>
      <c r="J381" t="s">
        <v>1318</v>
      </c>
      <c r="K381" t="s">
        <v>2071</v>
      </c>
      <c r="L381" t="s">
        <v>2072</v>
      </c>
    </row>
    <row r="382" spans="1:12">
      <c r="A382">
        <v>381</v>
      </c>
      <c r="B382" t="s">
        <v>500</v>
      </c>
      <c r="C382" t="s">
        <v>501</v>
      </c>
      <c r="D382" t="s">
        <v>928</v>
      </c>
      <c r="E382">
        <v>6.4791522536599899</v>
      </c>
      <c r="F382">
        <f t="shared" si="24"/>
        <v>3014062.4999999534</v>
      </c>
      <c r="G382">
        <f t="shared" si="25"/>
        <v>18901732929.749866</v>
      </c>
      <c r="H382" s="10">
        <f t="shared" si="26"/>
        <v>0.99556004071794857</v>
      </c>
      <c r="I382" s="11">
        <f t="shared" si="27"/>
        <v>1.5875159152754491E-4</v>
      </c>
      <c r="J382" t="s">
        <v>1319</v>
      </c>
      <c r="K382" t="s">
        <v>1510</v>
      </c>
      <c r="L382" t="s">
        <v>2073</v>
      </c>
    </row>
    <row r="383" spans="1:12">
      <c r="A383">
        <v>382</v>
      </c>
      <c r="B383" t="s">
        <v>282</v>
      </c>
      <c r="C383" t="s">
        <v>283</v>
      </c>
      <c r="D383" t="s">
        <v>928</v>
      </c>
      <c r="E383">
        <v>6.4587390467310204</v>
      </c>
      <c r="F383">
        <f t="shared" si="24"/>
        <v>2875669.9999999609</v>
      </c>
      <c r="G383">
        <f t="shared" si="25"/>
        <v>18904608599.749866</v>
      </c>
      <c r="H383" s="10">
        <f t="shared" si="26"/>
        <v>0.9957115031342747</v>
      </c>
      <c r="I383" s="11">
        <f t="shared" si="27"/>
        <v>1.5146241632614318E-4</v>
      </c>
      <c r="J383" t="s">
        <v>1320</v>
      </c>
      <c r="K383" t="s">
        <v>2074</v>
      </c>
      <c r="L383" t="s">
        <v>2075</v>
      </c>
    </row>
    <row r="384" spans="1:12">
      <c r="A384">
        <v>383</v>
      </c>
      <c r="B384" t="s">
        <v>860</v>
      </c>
      <c r="C384" t="s">
        <v>861</v>
      </c>
      <c r="D384" t="s">
        <v>928</v>
      </c>
      <c r="E384">
        <v>6.4380361284874796</v>
      </c>
      <c r="F384">
        <f t="shared" si="24"/>
        <v>2741802.2499999609</v>
      </c>
      <c r="G384">
        <f t="shared" si="25"/>
        <v>18907350401.999866</v>
      </c>
      <c r="H384" s="10">
        <f t="shared" si="26"/>
        <v>0.9958559146953625</v>
      </c>
      <c r="I384" s="11">
        <f t="shared" si="27"/>
        <v>1.4441156108783545E-4</v>
      </c>
      <c r="J384" t="s">
        <v>1321</v>
      </c>
      <c r="K384" t="s">
        <v>2076</v>
      </c>
      <c r="L384" t="s">
        <v>2077</v>
      </c>
    </row>
    <row r="385" spans="1:12">
      <c r="A385">
        <v>384</v>
      </c>
      <c r="B385" t="s">
        <v>104</v>
      </c>
      <c r="C385" t="s">
        <v>105</v>
      </c>
      <c r="D385" t="s">
        <v>928</v>
      </c>
      <c r="E385">
        <v>6.433604242585</v>
      </c>
      <c r="F385">
        <f t="shared" si="24"/>
        <v>2713964.9999999991</v>
      </c>
      <c r="G385">
        <f t="shared" si="25"/>
        <v>18910064366.999866</v>
      </c>
      <c r="H385" s="10">
        <f t="shared" si="26"/>
        <v>0.99599886005999916</v>
      </c>
      <c r="I385" s="11">
        <f t="shared" si="27"/>
        <v>1.4294536463661914E-4</v>
      </c>
      <c r="J385" t="s">
        <v>1322</v>
      </c>
      <c r="K385" t="s">
        <v>2078</v>
      </c>
      <c r="L385" t="s">
        <v>2079</v>
      </c>
    </row>
    <row r="386" spans="1:12">
      <c r="A386">
        <v>385</v>
      </c>
      <c r="B386" t="s">
        <v>726</v>
      </c>
      <c r="C386" t="s">
        <v>727</v>
      </c>
      <c r="D386" t="s">
        <v>928</v>
      </c>
      <c r="E386">
        <v>6.42756164964129</v>
      </c>
      <c r="F386">
        <f t="shared" si="24"/>
        <v>2676465.4999999958</v>
      </c>
      <c r="G386">
        <f t="shared" si="25"/>
        <v>18912740832.499866</v>
      </c>
      <c r="H386" s="10">
        <f t="shared" si="26"/>
        <v>0.99613983031452891</v>
      </c>
      <c r="I386" s="11">
        <f t="shared" si="27"/>
        <v>1.4097025452974917E-4</v>
      </c>
      <c r="J386" t="s">
        <v>1323</v>
      </c>
      <c r="K386" t="s">
        <v>1915</v>
      </c>
      <c r="L386" t="s">
        <v>2080</v>
      </c>
    </row>
    <row r="387" spans="1:12">
      <c r="A387">
        <v>386</v>
      </c>
      <c r="B387" t="s">
        <v>480</v>
      </c>
      <c r="C387" t="s">
        <v>481</v>
      </c>
      <c r="D387" t="s">
        <v>928</v>
      </c>
      <c r="E387">
        <v>6.4249306552624201</v>
      </c>
      <c r="F387">
        <f t="shared" si="24"/>
        <v>2660300.2499999828</v>
      </c>
      <c r="G387">
        <f t="shared" si="25"/>
        <v>18915401132.749866</v>
      </c>
      <c r="H387" s="10">
        <f t="shared" si="26"/>
        <v>0.99627994914040874</v>
      </c>
      <c r="I387" s="11">
        <f t="shared" si="27"/>
        <v>1.4011882587989776E-4</v>
      </c>
      <c r="J387" t="s">
        <v>1324</v>
      </c>
      <c r="K387" t="s">
        <v>2081</v>
      </c>
      <c r="L387" t="s">
        <v>2082</v>
      </c>
    </row>
    <row r="388" spans="1:12">
      <c r="A388">
        <v>387</v>
      </c>
      <c r="B388" t="s">
        <v>92</v>
      </c>
      <c r="C388" t="s">
        <v>93</v>
      </c>
      <c r="D388" t="s">
        <v>928</v>
      </c>
      <c r="E388">
        <v>6.4201088804749897</v>
      </c>
      <c r="F388">
        <f t="shared" si="24"/>
        <v>2630927.4999999553</v>
      </c>
      <c r="G388">
        <f t="shared" si="25"/>
        <v>18918032060.249866</v>
      </c>
      <c r="H388" s="10">
        <f t="shared" si="26"/>
        <v>0.99641852089458394</v>
      </c>
      <c r="I388" s="11">
        <f t="shared" si="27"/>
        <v>1.3857175417516534E-4</v>
      </c>
      <c r="J388" t="s">
        <v>1325</v>
      </c>
      <c r="K388" t="s">
        <v>1510</v>
      </c>
      <c r="L388" t="s">
        <v>2083</v>
      </c>
    </row>
    <row r="389" spans="1:12">
      <c r="A389">
        <v>388</v>
      </c>
      <c r="B389" t="s">
        <v>872</v>
      </c>
      <c r="C389" t="s">
        <v>873</v>
      </c>
      <c r="D389" t="s">
        <v>928</v>
      </c>
      <c r="E389">
        <v>6.3928837300487196</v>
      </c>
      <c r="F389">
        <f t="shared" si="24"/>
        <v>2471062.5</v>
      </c>
      <c r="G389">
        <f t="shared" si="25"/>
        <v>18920503122.749866</v>
      </c>
      <c r="H389" s="10">
        <f t="shared" si="26"/>
        <v>0.996548672510431</v>
      </c>
      <c r="I389" s="11">
        <f t="shared" si="27"/>
        <v>1.3015161584706354E-4</v>
      </c>
      <c r="J389" t="s">
        <v>1326</v>
      </c>
      <c r="K389" t="s">
        <v>2084</v>
      </c>
      <c r="L389" t="s">
        <v>2085</v>
      </c>
    </row>
    <row r="390" spans="1:12">
      <c r="A390">
        <v>389</v>
      </c>
      <c r="B390" t="s">
        <v>122</v>
      </c>
      <c r="C390" t="s">
        <v>123</v>
      </c>
      <c r="D390" t="s">
        <v>928</v>
      </c>
      <c r="E390">
        <v>6.3859802224033499</v>
      </c>
      <c r="F390">
        <f t="shared" si="24"/>
        <v>2432093.2500000009</v>
      </c>
      <c r="G390">
        <f t="shared" si="25"/>
        <v>18922935215.999866</v>
      </c>
      <c r="H390" s="10">
        <f t="shared" si="26"/>
        <v>0.99667677160399026</v>
      </c>
      <c r="I390" s="11">
        <f t="shared" si="27"/>
        <v>1.280990935592428E-4</v>
      </c>
      <c r="J390" t="s">
        <v>1327</v>
      </c>
      <c r="K390" t="s">
        <v>1556</v>
      </c>
      <c r="L390" t="s">
        <v>2086</v>
      </c>
    </row>
    <row r="391" spans="1:12">
      <c r="A391">
        <v>390</v>
      </c>
      <c r="B391" t="s">
        <v>318</v>
      </c>
      <c r="C391" t="s">
        <v>319</v>
      </c>
      <c r="D391" t="s">
        <v>928</v>
      </c>
      <c r="E391">
        <v>6.3846386678634897</v>
      </c>
      <c r="F391">
        <f t="shared" si="24"/>
        <v>2424591.9999999488</v>
      </c>
      <c r="G391">
        <f t="shared" si="25"/>
        <v>18925359807.999866</v>
      </c>
      <c r="H391" s="10">
        <f t="shared" si="26"/>
        <v>0.9968044756044232</v>
      </c>
      <c r="I391" s="11">
        <f t="shared" si="27"/>
        <v>1.2770400043295418E-4</v>
      </c>
      <c r="J391" s="12" t="s">
        <v>1328</v>
      </c>
      <c r="K391" t="s">
        <v>2087</v>
      </c>
      <c r="L391" t="s">
        <v>2088</v>
      </c>
    </row>
    <row r="392" spans="1:12">
      <c r="A392">
        <v>391</v>
      </c>
      <c r="B392" t="s">
        <v>468</v>
      </c>
      <c r="C392" t="s">
        <v>469</v>
      </c>
      <c r="D392" t="s">
        <v>928</v>
      </c>
      <c r="E392">
        <v>6.3815249839931898</v>
      </c>
      <c r="F392">
        <f t="shared" si="24"/>
        <v>2407270.9999999772</v>
      </c>
      <c r="G392">
        <f t="shared" si="25"/>
        <v>18927767078.999866</v>
      </c>
      <c r="H392" s="10">
        <f t="shared" si="26"/>
        <v>0.99693126730250115</v>
      </c>
      <c r="I392" s="11">
        <f t="shared" si="27"/>
        <v>1.2679169807796182E-4</v>
      </c>
      <c r="J392" t="s">
        <v>1329</v>
      </c>
      <c r="K392" t="s">
        <v>2089</v>
      </c>
      <c r="L392" t="s">
        <v>2090</v>
      </c>
    </row>
    <row r="393" spans="1:12">
      <c r="A393">
        <v>392</v>
      </c>
      <c r="B393" t="s">
        <v>254</v>
      </c>
      <c r="C393" t="s">
        <v>255</v>
      </c>
      <c r="D393" t="s">
        <v>928</v>
      </c>
      <c r="E393">
        <v>6.3666366429102803</v>
      </c>
      <c r="F393">
        <f t="shared" ref="F393:F450" si="28">POWER(10,E393)</f>
        <v>2326144.2499999912</v>
      </c>
      <c r="G393">
        <f t="shared" ref="G393:G450" si="29">SUM(F393,G392)</f>
        <v>18930093223.249866</v>
      </c>
      <c r="H393" s="10">
        <f t="shared" ref="H393:H450" si="30">G393/$F$1</f>
        <v>0.99705378602990313</v>
      </c>
      <c r="I393" s="11">
        <f t="shared" ref="I393:I450" si="31">F393/F$1</f>
        <v>1.2251872740202022E-4</v>
      </c>
      <c r="J393" t="s">
        <v>1330</v>
      </c>
      <c r="K393" t="s">
        <v>2091</v>
      </c>
      <c r="L393" t="s">
        <v>2092</v>
      </c>
    </row>
    <row r="394" spans="1:12">
      <c r="A394">
        <v>393</v>
      </c>
      <c r="B394" t="s">
        <v>552</v>
      </c>
      <c r="C394" t="s">
        <v>553</v>
      </c>
      <c r="D394" t="s">
        <v>928</v>
      </c>
      <c r="E394">
        <v>6.3554539147740901</v>
      </c>
      <c r="F394">
        <f t="shared" si="28"/>
        <v>2267012.4999999818</v>
      </c>
      <c r="G394">
        <f t="shared" si="29"/>
        <v>18932360235.749866</v>
      </c>
      <c r="H394" s="10">
        <f t="shared" si="30"/>
        <v>0.99717319026999041</v>
      </c>
      <c r="I394" s="11">
        <f t="shared" si="31"/>
        <v>1.1940424008720492E-4</v>
      </c>
      <c r="J394" t="s">
        <v>1331</v>
      </c>
      <c r="K394" t="s">
        <v>2093</v>
      </c>
      <c r="L394" t="s">
        <v>2094</v>
      </c>
    </row>
    <row r="395" spans="1:12">
      <c r="A395">
        <v>394</v>
      </c>
      <c r="B395" t="s">
        <v>314</v>
      </c>
      <c r="C395" t="s">
        <v>315</v>
      </c>
      <c r="D395" t="s">
        <v>928</v>
      </c>
      <c r="E395">
        <v>6.3548317247151402</v>
      </c>
      <c r="F395">
        <f t="shared" si="28"/>
        <v>2263766.9999999837</v>
      </c>
      <c r="G395">
        <f t="shared" si="29"/>
        <v>18934624002.749866</v>
      </c>
      <c r="H395" s="10">
        <f t="shared" si="30"/>
        <v>0.99729242356860237</v>
      </c>
      <c r="I395" s="11">
        <f t="shared" si="31"/>
        <v>1.1923329861193611E-4</v>
      </c>
      <c r="J395" t="s">
        <v>1332</v>
      </c>
      <c r="K395" t="s">
        <v>1510</v>
      </c>
      <c r="L395" t="s">
        <v>2095</v>
      </c>
    </row>
    <row r="396" spans="1:12">
      <c r="A396">
        <v>395</v>
      </c>
      <c r="B396" t="s">
        <v>236</v>
      </c>
      <c r="C396" t="s">
        <v>237</v>
      </c>
      <c r="D396" t="s">
        <v>928</v>
      </c>
      <c r="E396">
        <v>6.3488067867486002</v>
      </c>
      <c r="F396">
        <f t="shared" si="28"/>
        <v>2232578.7499999683</v>
      </c>
      <c r="G396">
        <f t="shared" si="29"/>
        <v>18936856581.499866</v>
      </c>
      <c r="H396" s="10">
        <f t="shared" si="30"/>
        <v>0.99741001417257058</v>
      </c>
      <c r="I396" s="11">
        <f t="shared" si="31"/>
        <v>1.1759060396825787E-4</v>
      </c>
      <c r="J396" t="s">
        <v>1333</v>
      </c>
      <c r="K396" t="s">
        <v>1510</v>
      </c>
      <c r="L396" t="s">
        <v>2096</v>
      </c>
    </row>
    <row r="397" spans="1:12">
      <c r="A397">
        <v>396</v>
      </c>
      <c r="B397" t="s">
        <v>832</v>
      </c>
      <c r="C397" t="s">
        <v>833</v>
      </c>
      <c r="D397" t="s">
        <v>928</v>
      </c>
      <c r="E397">
        <v>6.34112650157304</v>
      </c>
      <c r="F397">
        <f t="shared" si="28"/>
        <v>2193443.7500000047</v>
      </c>
      <c r="G397">
        <f t="shared" si="29"/>
        <v>18939050025.249866</v>
      </c>
      <c r="H397" s="10">
        <f t="shared" si="30"/>
        <v>0.99752554352414791</v>
      </c>
      <c r="I397" s="11">
        <f t="shared" si="31"/>
        <v>1.1552935157736524E-4</v>
      </c>
      <c r="J397" t="s">
        <v>1334</v>
      </c>
      <c r="K397" t="s">
        <v>2097</v>
      </c>
      <c r="L397" t="s">
        <v>2098</v>
      </c>
    </row>
    <row r="398" spans="1:12">
      <c r="A398">
        <v>397</v>
      </c>
      <c r="B398" t="s">
        <v>402</v>
      </c>
      <c r="C398" t="s">
        <v>403</v>
      </c>
      <c r="D398" t="s">
        <v>928</v>
      </c>
      <c r="E398">
        <v>6.3196460659743403</v>
      </c>
      <c r="F398">
        <f t="shared" si="28"/>
        <v>2087594.1249999811</v>
      </c>
      <c r="G398">
        <f t="shared" si="29"/>
        <v>18941137619.374866</v>
      </c>
      <c r="H398" s="10">
        <f t="shared" si="30"/>
        <v>0.99763549774367966</v>
      </c>
      <c r="I398" s="11">
        <f t="shared" si="31"/>
        <v>1.0995421953171331E-4</v>
      </c>
      <c r="J398" t="s">
        <v>1335</v>
      </c>
      <c r="K398" t="s">
        <v>2030</v>
      </c>
      <c r="L398" t="s">
        <v>2099</v>
      </c>
    </row>
    <row r="399" spans="1:12">
      <c r="A399">
        <v>398</v>
      </c>
      <c r="B399" t="s">
        <v>308</v>
      </c>
      <c r="C399" t="s">
        <v>309</v>
      </c>
      <c r="D399" t="s">
        <v>928</v>
      </c>
      <c r="E399">
        <v>6.2971320251735401</v>
      </c>
      <c r="F399">
        <f t="shared" si="28"/>
        <v>1982129.4999999718</v>
      </c>
      <c r="G399">
        <f t="shared" si="29"/>
        <v>18943119748.874866</v>
      </c>
      <c r="H399" s="10">
        <f t="shared" si="30"/>
        <v>0.99773989710923316</v>
      </c>
      <c r="I399" s="11">
        <f t="shared" si="31"/>
        <v>1.0439936555353354E-4</v>
      </c>
      <c r="J399" t="s">
        <v>1336</v>
      </c>
      <c r="K399" t="s">
        <v>1510</v>
      </c>
      <c r="L399" t="s">
        <v>2100</v>
      </c>
    </row>
    <row r="400" spans="1:12">
      <c r="A400">
        <v>399</v>
      </c>
      <c r="B400" t="s">
        <v>868</v>
      </c>
      <c r="C400" t="s">
        <v>869</v>
      </c>
      <c r="D400" t="s">
        <v>928</v>
      </c>
      <c r="E400">
        <v>6.2919304500336803</v>
      </c>
      <c r="F400">
        <f t="shared" si="28"/>
        <v>1958530.9999999676</v>
      </c>
      <c r="G400">
        <f t="shared" si="29"/>
        <v>18945078279.874866</v>
      </c>
      <c r="H400" s="10">
        <f t="shared" si="30"/>
        <v>0.99784305353459135</v>
      </c>
      <c r="I400" s="11">
        <f t="shared" si="31"/>
        <v>1.0315642535814493E-4</v>
      </c>
      <c r="J400" t="s">
        <v>1337</v>
      </c>
      <c r="K400" t="s">
        <v>1510</v>
      </c>
      <c r="L400" t="s">
        <v>2101</v>
      </c>
    </row>
    <row r="401" spans="1:12">
      <c r="A401">
        <v>400</v>
      </c>
      <c r="B401" t="s">
        <v>826</v>
      </c>
      <c r="C401" t="s">
        <v>827</v>
      </c>
      <c r="D401" t="s">
        <v>928</v>
      </c>
      <c r="E401">
        <v>6.2840799981649402</v>
      </c>
      <c r="F401">
        <f t="shared" si="28"/>
        <v>1923445.9999999851</v>
      </c>
      <c r="G401">
        <f t="shared" si="29"/>
        <v>18947001725.874866</v>
      </c>
      <c r="H401" s="10">
        <f t="shared" si="30"/>
        <v>0.99794436202229431</v>
      </c>
      <c r="I401" s="11">
        <f t="shared" si="31"/>
        <v>1.0130848770298973E-4</v>
      </c>
      <c r="J401" t="s">
        <v>1338</v>
      </c>
      <c r="K401" t="s">
        <v>1686</v>
      </c>
      <c r="L401" t="s">
        <v>2102</v>
      </c>
    </row>
    <row r="402" spans="1:12">
      <c r="A402">
        <v>401</v>
      </c>
      <c r="B402" t="s">
        <v>156</v>
      </c>
      <c r="C402" t="s">
        <v>157</v>
      </c>
      <c r="D402" t="s">
        <v>928</v>
      </c>
      <c r="E402">
        <v>6.2836361509334502</v>
      </c>
      <c r="F402">
        <f t="shared" si="28"/>
        <v>1921481.249999966</v>
      </c>
      <c r="G402">
        <f t="shared" si="29"/>
        <v>18948923207.124866</v>
      </c>
      <c r="H402" s="10">
        <f t="shared" si="30"/>
        <v>0.99804556702601532</v>
      </c>
      <c r="I402" s="11">
        <f t="shared" si="31"/>
        <v>1.0120500372100303E-4</v>
      </c>
      <c r="J402" t="s">
        <v>1339</v>
      </c>
      <c r="K402" t="s">
        <v>1510</v>
      </c>
      <c r="L402" t="s">
        <v>2103</v>
      </c>
    </row>
    <row r="403" spans="1:12">
      <c r="A403">
        <v>402</v>
      </c>
      <c r="B403" t="s">
        <v>604</v>
      </c>
      <c r="C403" t="s">
        <v>605</v>
      </c>
      <c r="D403" t="s">
        <v>928</v>
      </c>
      <c r="E403">
        <v>6.2829321761019203</v>
      </c>
      <c r="F403">
        <f t="shared" si="28"/>
        <v>1918369.1249999993</v>
      </c>
      <c r="G403">
        <f t="shared" si="29"/>
        <v>18950841576.249866</v>
      </c>
      <c r="H403" s="10">
        <f t="shared" si="30"/>
        <v>0.99814660811316303</v>
      </c>
      <c r="I403" s="11">
        <f t="shared" si="31"/>
        <v>1.0104108714768135E-4</v>
      </c>
      <c r="J403" t="s">
        <v>1340</v>
      </c>
      <c r="K403" t="s">
        <v>1510</v>
      </c>
      <c r="L403" t="s">
        <v>2104</v>
      </c>
    </row>
    <row r="404" spans="1:12">
      <c r="A404">
        <v>403</v>
      </c>
      <c r="B404" t="s">
        <v>418</v>
      </c>
      <c r="C404" t="s">
        <v>419</v>
      </c>
      <c r="D404" t="s">
        <v>928</v>
      </c>
      <c r="E404">
        <v>6.2809071533924898</v>
      </c>
      <c r="F404">
        <f t="shared" si="28"/>
        <v>1909444.9999999865</v>
      </c>
      <c r="G404">
        <f t="shared" si="29"/>
        <v>18952751021.249866</v>
      </c>
      <c r="H404" s="10">
        <f t="shared" si="30"/>
        <v>0.99824717916392403</v>
      </c>
      <c r="I404" s="11">
        <f t="shared" si="31"/>
        <v>1.0057105076099633E-4</v>
      </c>
      <c r="J404" t="s">
        <v>1341</v>
      </c>
      <c r="K404" t="s">
        <v>1917</v>
      </c>
      <c r="L404" t="s">
        <v>2105</v>
      </c>
    </row>
    <row r="405" spans="1:12">
      <c r="A405">
        <v>404</v>
      </c>
      <c r="B405" t="s">
        <v>724</v>
      </c>
      <c r="C405" t="s">
        <v>725</v>
      </c>
      <c r="D405" t="s">
        <v>928</v>
      </c>
      <c r="E405">
        <v>6.2622277741102401</v>
      </c>
      <c r="F405">
        <f t="shared" si="28"/>
        <v>1829059.2499999804</v>
      </c>
      <c r="G405">
        <f t="shared" si="29"/>
        <v>18954580080.499866</v>
      </c>
      <c r="H405" s="10">
        <f t="shared" si="30"/>
        <v>0.99834351627270512</v>
      </c>
      <c r="I405" s="11">
        <f t="shared" si="31"/>
        <v>9.6337108781148039E-5</v>
      </c>
      <c r="J405" t="s">
        <v>1342</v>
      </c>
      <c r="K405" t="s">
        <v>1510</v>
      </c>
      <c r="L405" t="s">
        <v>2106</v>
      </c>
    </row>
    <row r="406" spans="1:12">
      <c r="A406">
        <v>405</v>
      </c>
      <c r="B406" t="s">
        <v>554</v>
      </c>
      <c r="C406" t="s">
        <v>555</v>
      </c>
      <c r="D406" t="s">
        <v>928</v>
      </c>
      <c r="E406">
        <v>6.2506095987748997</v>
      </c>
      <c r="F406">
        <f t="shared" si="28"/>
        <v>1780777.2499999937</v>
      </c>
      <c r="G406">
        <f t="shared" si="29"/>
        <v>18956360857.749866</v>
      </c>
      <c r="H406" s="10">
        <f t="shared" si="30"/>
        <v>0.99843731035381444</v>
      </c>
      <c r="I406" s="11">
        <f t="shared" si="31"/>
        <v>9.3794081109316112E-5</v>
      </c>
      <c r="J406" s="12" t="s">
        <v>1343</v>
      </c>
      <c r="K406" t="s">
        <v>2107</v>
      </c>
      <c r="L406" t="s">
        <v>2108</v>
      </c>
    </row>
    <row r="407" spans="1:12">
      <c r="A407">
        <v>406</v>
      </c>
      <c r="B407" t="s">
        <v>150</v>
      </c>
      <c r="C407" t="s">
        <v>151</v>
      </c>
      <c r="D407" t="s">
        <v>928</v>
      </c>
      <c r="E407">
        <v>6.25011338710764</v>
      </c>
      <c r="F407">
        <f t="shared" si="28"/>
        <v>1778743.7499999895</v>
      </c>
      <c r="G407">
        <f t="shared" si="29"/>
        <v>18958139601.499866</v>
      </c>
      <c r="H407" s="10">
        <f t="shared" si="30"/>
        <v>0.99853099732985828</v>
      </c>
      <c r="I407" s="11">
        <f t="shared" si="31"/>
        <v>9.3686976043853159E-5</v>
      </c>
      <c r="J407" t="s">
        <v>1344</v>
      </c>
      <c r="K407" t="s">
        <v>1510</v>
      </c>
      <c r="L407" t="s">
        <v>2109</v>
      </c>
    </row>
    <row r="408" spans="1:12">
      <c r="A408">
        <v>407</v>
      </c>
      <c r="B408" t="s">
        <v>482</v>
      </c>
      <c r="C408" t="s">
        <v>483</v>
      </c>
      <c r="D408" t="s">
        <v>928</v>
      </c>
      <c r="E408">
        <v>6.2488576390306596</v>
      </c>
      <c r="F408">
        <f t="shared" si="28"/>
        <v>1773607.9999999828</v>
      </c>
      <c r="G408">
        <f t="shared" si="29"/>
        <v>18959913209.499866</v>
      </c>
      <c r="H408" s="10">
        <f t="shared" si="30"/>
        <v>0.99862441380438272</v>
      </c>
      <c r="I408" s="11">
        <f t="shared" si="31"/>
        <v>9.3416474524329689E-5</v>
      </c>
      <c r="J408" t="s">
        <v>1345</v>
      </c>
      <c r="K408" t="s">
        <v>2110</v>
      </c>
      <c r="L408" t="s">
        <v>2111</v>
      </c>
    </row>
    <row r="409" spans="1:12">
      <c r="A409">
        <v>408</v>
      </c>
      <c r="B409" t="s">
        <v>288</v>
      </c>
      <c r="C409" t="s">
        <v>289</v>
      </c>
      <c r="D409" t="s">
        <v>928</v>
      </c>
      <c r="E409">
        <v>6.2139815867422001</v>
      </c>
      <c r="F409">
        <f t="shared" si="28"/>
        <v>1636747.1249999846</v>
      </c>
      <c r="G409">
        <f t="shared" si="29"/>
        <v>18961549956.624866</v>
      </c>
      <c r="H409" s="10">
        <f t="shared" si="30"/>
        <v>0.9987106217748617</v>
      </c>
      <c r="I409" s="11">
        <f t="shared" si="31"/>
        <v>8.6207970479007997E-5</v>
      </c>
      <c r="J409" t="s">
        <v>1346</v>
      </c>
      <c r="K409" t="s">
        <v>2112</v>
      </c>
      <c r="L409" t="s">
        <v>2113</v>
      </c>
    </row>
    <row r="410" spans="1:12">
      <c r="A410">
        <v>409</v>
      </c>
      <c r="B410" t="s">
        <v>106</v>
      </c>
      <c r="C410" t="s">
        <v>107</v>
      </c>
      <c r="D410" t="s">
        <v>928</v>
      </c>
      <c r="E410">
        <v>6.1535596222981104</v>
      </c>
      <c r="F410">
        <f t="shared" si="28"/>
        <v>1424162.7499999891</v>
      </c>
      <c r="G410">
        <f t="shared" si="29"/>
        <v>18962974119.374866</v>
      </c>
      <c r="H410" s="10">
        <f t="shared" si="30"/>
        <v>0.99878563286144562</v>
      </c>
      <c r="I410" s="11">
        <f t="shared" si="31"/>
        <v>7.5011086583886969E-5</v>
      </c>
      <c r="J410" t="s">
        <v>1347</v>
      </c>
      <c r="K410" t="s">
        <v>2114</v>
      </c>
      <c r="L410" t="s">
        <v>2115</v>
      </c>
    </row>
    <row r="411" spans="1:12">
      <c r="A411">
        <v>410</v>
      </c>
      <c r="B411" t="s">
        <v>632</v>
      </c>
      <c r="C411" t="s">
        <v>633</v>
      </c>
      <c r="D411" t="s">
        <v>928</v>
      </c>
      <c r="E411">
        <v>6.11045052018153</v>
      </c>
      <c r="F411">
        <f t="shared" si="28"/>
        <v>1289586.624999986</v>
      </c>
      <c r="G411">
        <f t="shared" si="29"/>
        <v>18964263705.999866</v>
      </c>
      <c r="H411" s="10">
        <f t="shared" si="30"/>
        <v>0.99885355578246371</v>
      </c>
      <c r="I411" s="11">
        <f t="shared" si="31"/>
        <v>6.7922921018189291E-5</v>
      </c>
      <c r="J411" t="s">
        <v>1348</v>
      </c>
      <c r="K411" t="s">
        <v>2116</v>
      </c>
      <c r="L411" t="s">
        <v>2117</v>
      </c>
    </row>
    <row r="412" spans="1:12">
      <c r="A412">
        <v>411</v>
      </c>
      <c r="B412" t="s">
        <v>410</v>
      </c>
      <c r="C412" t="s">
        <v>411</v>
      </c>
      <c r="D412" t="s">
        <v>928</v>
      </c>
      <c r="E412">
        <v>6.1062940172060101</v>
      </c>
      <c r="F412">
        <f t="shared" si="28"/>
        <v>1277303.2499999984</v>
      </c>
      <c r="G412">
        <f t="shared" si="29"/>
        <v>18965541009.249866</v>
      </c>
      <c r="H412" s="10">
        <f t="shared" si="30"/>
        <v>0.99892083173437274</v>
      </c>
      <c r="I412" s="11">
        <f t="shared" si="31"/>
        <v>6.7275951909029244E-5</v>
      </c>
      <c r="J412" t="s">
        <v>1349</v>
      </c>
      <c r="K412" t="s">
        <v>2118</v>
      </c>
      <c r="L412" t="s">
        <v>2119</v>
      </c>
    </row>
    <row r="413" spans="1:12">
      <c r="A413">
        <v>412</v>
      </c>
      <c r="B413" t="s">
        <v>200</v>
      </c>
      <c r="C413" t="s">
        <v>201</v>
      </c>
      <c r="D413" t="s">
        <v>928</v>
      </c>
      <c r="E413">
        <v>6.0912042843119503</v>
      </c>
      <c r="F413">
        <f t="shared" si="28"/>
        <v>1233684.9999999763</v>
      </c>
      <c r="G413">
        <f t="shared" si="29"/>
        <v>18966774694.249866</v>
      </c>
      <c r="H413" s="10">
        <f t="shared" si="30"/>
        <v>0.99898581029974554</v>
      </c>
      <c r="I413" s="11">
        <f t="shared" si="31"/>
        <v>6.4978565372701618E-5</v>
      </c>
      <c r="J413" t="s">
        <v>1350</v>
      </c>
      <c r="K413" t="s">
        <v>2120</v>
      </c>
      <c r="L413" t="s">
        <v>2121</v>
      </c>
    </row>
    <row r="414" spans="1:12">
      <c r="A414">
        <v>413</v>
      </c>
      <c r="B414" t="s">
        <v>270</v>
      </c>
      <c r="C414" t="s">
        <v>271</v>
      </c>
      <c r="D414" t="s">
        <v>928</v>
      </c>
      <c r="E414">
        <v>6.0879286413902802</v>
      </c>
      <c r="F414">
        <f t="shared" si="28"/>
        <v>1224415.0000000033</v>
      </c>
      <c r="G414">
        <f t="shared" si="29"/>
        <v>18967999109.249866</v>
      </c>
      <c r="H414" s="10">
        <f t="shared" si="30"/>
        <v>0.99905030061138977</v>
      </c>
      <c r="I414" s="11">
        <f t="shared" si="31"/>
        <v>6.4490311644235118E-5</v>
      </c>
      <c r="J414" t="s">
        <v>1351</v>
      </c>
      <c r="K414" t="s">
        <v>1510</v>
      </c>
      <c r="L414" t="s">
        <v>2122</v>
      </c>
    </row>
    <row r="415" spans="1:12">
      <c r="A415">
        <v>414</v>
      </c>
      <c r="B415" t="s">
        <v>862</v>
      </c>
      <c r="C415" t="s">
        <v>863</v>
      </c>
      <c r="D415" t="s">
        <v>928</v>
      </c>
      <c r="E415">
        <v>6.05852623469824</v>
      </c>
      <c r="F415">
        <f t="shared" si="28"/>
        <v>1144263.999999986</v>
      </c>
      <c r="G415">
        <f t="shared" si="29"/>
        <v>18969143373.249866</v>
      </c>
      <c r="H415" s="10">
        <f t="shared" si="30"/>
        <v>0.99911056934540821</v>
      </c>
      <c r="I415" s="11">
        <f t="shared" si="31"/>
        <v>6.0268734018513295E-5</v>
      </c>
      <c r="J415" s="12" t="s">
        <v>1352</v>
      </c>
      <c r="K415" t="s">
        <v>1856</v>
      </c>
      <c r="L415" t="s">
        <v>2123</v>
      </c>
    </row>
    <row r="416" spans="1:12">
      <c r="A416">
        <v>415</v>
      </c>
      <c r="B416" t="s">
        <v>720</v>
      </c>
      <c r="C416" t="s">
        <v>721</v>
      </c>
      <c r="D416" t="s">
        <v>928</v>
      </c>
      <c r="E416">
        <v>6.0552545914319298</v>
      </c>
      <c r="F416">
        <f t="shared" si="28"/>
        <v>1135676.3749999984</v>
      </c>
      <c r="G416">
        <f t="shared" si="29"/>
        <v>18970279049.624866</v>
      </c>
      <c r="H416" s="10">
        <f t="shared" si="30"/>
        <v>0.99917038576659778</v>
      </c>
      <c r="I416" s="11">
        <f t="shared" si="31"/>
        <v>5.9816421189502686E-5</v>
      </c>
      <c r="J416" t="s">
        <v>1353</v>
      </c>
      <c r="K416" t="s">
        <v>2124</v>
      </c>
      <c r="L416" t="s">
        <v>2125</v>
      </c>
    </row>
    <row r="417" spans="1:12">
      <c r="A417">
        <v>416</v>
      </c>
      <c r="B417" t="s">
        <v>514</v>
      </c>
      <c r="C417" t="s">
        <v>515</v>
      </c>
      <c r="D417" t="s">
        <v>928</v>
      </c>
      <c r="E417">
        <v>6.0510448040582299</v>
      </c>
      <c r="F417">
        <f t="shared" si="28"/>
        <v>1124720.9999999844</v>
      </c>
      <c r="G417">
        <f t="shared" si="29"/>
        <v>18971403770.624866</v>
      </c>
      <c r="H417" s="10">
        <f t="shared" si="30"/>
        <v>0.99922962516484326</v>
      </c>
      <c r="I417" s="11">
        <f t="shared" si="31"/>
        <v>5.9239398245541396E-5</v>
      </c>
      <c r="J417" t="s">
        <v>1354</v>
      </c>
      <c r="K417" t="s">
        <v>2126</v>
      </c>
      <c r="L417" t="s">
        <v>2127</v>
      </c>
    </row>
    <row r="418" spans="1:12">
      <c r="A418">
        <v>417</v>
      </c>
      <c r="B418" t="s">
        <v>342</v>
      </c>
      <c r="C418" t="s">
        <v>343</v>
      </c>
      <c r="D418" t="s">
        <v>928</v>
      </c>
      <c r="E418">
        <v>6.0466173778168804</v>
      </c>
      <c r="F418">
        <f t="shared" si="28"/>
        <v>1113313.2499999795</v>
      </c>
      <c r="G418">
        <f t="shared" si="29"/>
        <v>18972517083.874866</v>
      </c>
      <c r="H418" s="10">
        <f t="shared" si="30"/>
        <v>0.99928826371341561</v>
      </c>
      <c r="I418" s="11">
        <f t="shared" si="31"/>
        <v>5.8638548572301655E-5</v>
      </c>
      <c r="J418" t="s">
        <v>1355</v>
      </c>
      <c r="K418" t="s">
        <v>1510</v>
      </c>
      <c r="L418" t="s">
        <v>2128</v>
      </c>
    </row>
    <row r="419" spans="1:12">
      <c r="A419">
        <v>418</v>
      </c>
      <c r="B419" t="s">
        <v>446</v>
      </c>
      <c r="C419" t="s">
        <v>447</v>
      </c>
      <c r="D419" t="s">
        <v>928</v>
      </c>
      <c r="E419">
        <v>6.0459157674827999</v>
      </c>
      <c r="F419">
        <f t="shared" si="28"/>
        <v>1111516.1249999909</v>
      </c>
      <c r="G419">
        <f t="shared" si="29"/>
        <v>18973628599.999866</v>
      </c>
      <c r="H419" s="10">
        <f t="shared" si="30"/>
        <v>0.99934680760686578</v>
      </c>
      <c r="I419" s="11">
        <f t="shared" si="31"/>
        <v>5.8543893450212405E-5</v>
      </c>
      <c r="J419" t="s">
        <v>1356</v>
      </c>
      <c r="K419" t="s">
        <v>1510</v>
      </c>
      <c r="L419" t="s">
        <v>2129</v>
      </c>
    </row>
    <row r="420" spans="1:12">
      <c r="A420">
        <v>419</v>
      </c>
      <c r="B420" t="s">
        <v>356</v>
      </c>
      <c r="C420" t="s">
        <v>357</v>
      </c>
      <c r="D420" t="s">
        <v>928</v>
      </c>
      <c r="E420">
        <v>5.9904658939849096</v>
      </c>
      <c r="F420">
        <f t="shared" si="28"/>
        <v>978286.12499998265</v>
      </c>
      <c r="G420">
        <f t="shared" si="29"/>
        <v>18974606886.124866</v>
      </c>
      <c r="H420" s="10">
        <f t="shared" si="30"/>
        <v>0.99939833423556479</v>
      </c>
      <c r="I420" s="11">
        <f t="shared" si="31"/>
        <v>5.1526628698994918E-5</v>
      </c>
      <c r="J420" t="s">
        <v>1357</v>
      </c>
      <c r="K420" t="s">
        <v>2130</v>
      </c>
      <c r="L420" t="s">
        <v>2131</v>
      </c>
    </row>
    <row r="421" spans="1:12">
      <c r="A421">
        <v>420</v>
      </c>
      <c r="B421" t="s">
        <v>854</v>
      </c>
      <c r="C421" t="s">
        <v>855</v>
      </c>
      <c r="D421" t="s">
        <v>928</v>
      </c>
      <c r="E421">
        <v>5.98798709202726</v>
      </c>
      <c r="F421">
        <f t="shared" si="28"/>
        <v>972718.31249999499</v>
      </c>
      <c r="G421">
        <f t="shared" si="29"/>
        <v>18975579604.437366</v>
      </c>
      <c r="H421" s="10">
        <f t="shared" si="30"/>
        <v>0.99944956760588055</v>
      </c>
      <c r="I421" s="11">
        <f t="shared" si="31"/>
        <v>5.1233370315766301E-5</v>
      </c>
      <c r="J421" t="s">
        <v>1358</v>
      </c>
      <c r="K421" t="s">
        <v>1743</v>
      </c>
      <c r="L421" t="s">
        <v>2132</v>
      </c>
    </row>
    <row r="422" spans="1:12">
      <c r="A422">
        <v>421</v>
      </c>
      <c r="B422" t="s">
        <v>556</v>
      </c>
      <c r="C422" t="s">
        <v>557</v>
      </c>
      <c r="D422" t="s">
        <v>928</v>
      </c>
      <c r="E422">
        <v>5.97865114711849</v>
      </c>
      <c r="F422">
        <f t="shared" si="28"/>
        <v>952031.12500000116</v>
      </c>
      <c r="G422">
        <f t="shared" si="29"/>
        <v>18976531635.562366</v>
      </c>
      <c r="H422" s="10">
        <f t="shared" si="30"/>
        <v>0.99949971137571858</v>
      </c>
      <c r="I422" s="11">
        <f t="shared" si="31"/>
        <v>5.0143769838054636E-5</v>
      </c>
      <c r="J422" t="s">
        <v>1359</v>
      </c>
      <c r="K422" t="s">
        <v>2133</v>
      </c>
      <c r="L422" t="s">
        <v>2134</v>
      </c>
    </row>
    <row r="423" spans="1:12">
      <c r="A423">
        <v>422</v>
      </c>
      <c r="B423" t="s">
        <v>911</v>
      </c>
      <c r="C423" t="s">
        <v>912</v>
      </c>
      <c r="D423" t="s">
        <v>928</v>
      </c>
      <c r="E423">
        <v>5.9477997584722502</v>
      </c>
      <c r="F423">
        <f t="shared" si="28"/>
        <v>886747.06249999418</v>
      </c>
      <c r="G423">
        <f t="shared" si="29"/>
        <v>18977418382.624866</v>
      </c>
      <c r="H423" s="10">
        <f t="shared" si="30"/>
        <v>0.99954641661406529</v>
      </c>
      <c r="I423" s="11">
        <f t="shared" si="31"/>
        <v>4.6705238346667192E-5</v>
      </c>
      <c r="J423" t="s">
        <v>1387</v>
      </c>
    </row>
    <row r="424" spans="1:12">
      <c r="A424">
        <v>423</v>
      </c>
      <c r="B424" t="s">
        <v>612</v>
      </c>
      <c r="C424" t="s">
        <v>613</v>
      </c>
      <c r="D424" t="s">
        <v>928</v>
      </c>
      <c r="E424">
        <v>5.9122815885376196</v>
      </c>
      <c r="F424">
        <f t="shared" si="28"/>
        <v>817111.99999998882</v>
      </c>
      <c r="G424">
        <f t="shared" si="29"/>
        <v>18978235494.624866</v>
      </c>
      <c r="H424" s="10">
        <f t="shared" si="30"/>
        <v>0.99958945415242295</v>
      </c>
      <c r="I424" s="11">
        <f t="shared" si="31"/>
        <v>4.3037538357700116E-5</v>
      </c>
      <c r="J424" t="s">
        <v>1360</v>
      </c>
      <c r="K424" t="s">
        <v>2135</v>
      </c>
      <c r="L424" t="s">
        <v>2136</v>
      </c>
    </row>
    <row r="425" spans="1:12">
      <c r="A425">
        <v>424</v>
      </c>
      <c r="B425" t="s">
        <v>380</v>
      </c>
      <c r="C425" t="s">
        <v>381</v>
      </c>
      <c r="D425" t="s">
        <v>928</v>
      </c>
      <c r="E425">
        <v>5.8774059037374</v>
      </c>
      <c r="F425">
        <f t="shared" si="28"/>
        <v>754059.99999999593</v>
      </c>
      <c r="G425">
        <f t="shared" si="29"/>
        <v>18978989554.624866</v>
      </c>
      <c r="H425" s="10">
        <f t="shared" si="30"/>
        <v>0.99962917072270219</v>
      </c>
      <c r="I425" s="11">
        <f t="shared" si="31"/>
        <v>3.9716570279236645E-5</v>
      </c>
      <c r="J425" t="s">
        <v>1361</v>
      </c>
      <c r="K425" t="s">
        <v>2137</v>
      </c>
      <c r="L425" t="s">
        <v>2138</v>
      </c>
    </row>
    <row r="426" spans="1:12">
      <c r="A426">
        <v>425</v>
      </c>
      <c r="B426" t="s">
        <v>596</v>
      </c>
      <c r="C426" t="s">
        <v>597</v>
      </c>
      <c r="D426" t="s">
        <v>928</v>
      </c>
      <c r="E426">
        <v>5.8755901290718704</v>
      </c>
      <c r="F426">
        <f t="shared" si="28"/>
        <v>750913.87499998545</v>
      </c>
      <c r="G426">
        <f t="shared" si="29"/>
        <v>18979740468.499866</v>
      </c>
      <c r="H426" s="10">
        <f t="shared" si="30"/>
        <v>0.9996687215856177</v>
      </c>
      <c r="I426" s="11">
        <f t="shared" si="31"/>
        <v>3.9550862915538564E-5</v>
      </c>
      <c r="J426" t="s">
        <v>1362</v>
      </c>
      <c r="K426" t="s">
        <v>1510</v>
      </c>
      <c r="L426" t="s">
        <v>2139</v>
      </c>
    </row>
    <row r="427" spans="1:12">
      <c r="A427">
        <v>426</v>
      </c>
      <c r="B427" t="s">
        <v>370</v>
      </c>
      <c r="C427" t="s">
        <v>371</v>
      </c>
      <c r="D427" t="s">
        <v>928</v>
      </c>
      <c r="E427">
        <v>5.8653061144835696</v>
      </c>
      <c r="F427">
        <f t="shared" si="28"/>
        <v>733341.2499999901</v>
      </c>
      <c r="G427">
        <f t="shared" si="29"/>
        <v>18980473809.749866</v>
      </c>
      <c r="H427" s="10">
        <f t="shared" si="30"/>
        <v>0.99970734689301277</v>
      </c>
      <c r="I427" s="11">
        <f t="shared" si="31"/>
        <v>3.8625307395018989E-5</v>
      </c>
      <c r="J427" t="s">
        <v>1363</v>
      </c>
      <c r="K427" t="s">
        <v>1510</v>
      </c>
      <c r="L427" t="s">
        <v>2140</v>
      </c>
    </row>
    <row r="428" spans="1:12">
      <c r="A428">
        <v>427</v>
      </c>
      <c r="B428" t="s">
        <v>794</v>
      </c>
      <c r="C428" t="s">
        <v>795</v>
      </c>
      <c r="D428" t="s">
        <v>928</v>
      </c>
      <c r="E428">
        <v>5.8041814450558302</v>
      </c>
      <c r="F428">
        <f t="shared" si="28"/>
        <v>637061.62499998847</v>
      </c>
      <c r="G428">
        <f t="shared" si="29"/>
        <v>18981110871.374866</v>
      </c>
      <c r="H428" s="10">
        <f t="shared" si="30"/>
        <v>0.99974090112318215</v>
      </c>
      <c r="I428" s="11">
        <f t="shared" si="31"/>
        <v>3.3554230169372308E-5</v>
      </c>
      <c r="J428" s="12" t="s">
        <v>1364</v>
      </c>
      <c r="K428" t="s">
        <v>2141</v>
      </c>
      <c r="L428" t="s">
        <v>2142</v>
      </c>
    </row>
    <row r="429" spans="1:12">
      <c r="A429">
        <v>428</v>
      </c>
      <c r="B429" t="s">
        <v>768</v>
      </c>
      <c r="C429" t="s">
        <v>769</v>
      </c>
      <c r="D429" t="s">
        <v>928</v>
      </c>
      <c r="E429">
        <v>5.7759167214554603</v>
      </c>
      <c r="F429">
        <f t="shared" si="28"/>
        <v>596920.81249999057</v>
      </c>
      <c r="G429">
        <f t="shared" si="29"/>
        <v>18981707792.187366</v>
      </c>
      <c r="H429" s="10">
        <f t="shared" si="30"/>
        <v>0.99977234112450941</v>
      </c>
      <c r="I429" s="11">
        <f t="shared" si="31"/>
        <v>3.1440001327208773E-5</v>
      </c>
      <c r="J429" s="12" t="s">
        <v>1365</v>
      </c>
      <c r="K429" t="s">
        <v>1856</v>
      </c>
      <c r="L429" t="s">
        <v>2143</v>
      </c>
    </row>
    <row r="430" spans="1:12">
      <c r="A430">
        <v>429</v>
      </c>
      <c r="B430" t="s">
        <v>885</v>
      </c>
      <c r="C430" t="s">
        <v>886</v>
      </c>
      <c r="D430" t="s">
        <v>928</v>
      </c>
      <c r="E430">
        <v>5.7652841868129601</v>
      </c>
      <c r="F430">
        <f t="shared" si="28"/>
        <v>582484.24999999325</v>
      </c>
      <c r="G430">
        <f t="shared" si="29"/>
        <v>18982290276.437366</v>
      </c>
      <c r="H430" s="10">
        <f t="shared" si="30"/>
        <v>0.99980302074768479</v>
      </c>
      <c r="I430" s="11">
        <f t="shared" si="31"/>
        <v>3.0679623175441353E-5</v>
      </c>
      <c r="J430" t="s">
        <v>1366</v>
      </c>
      <c r="K430" t="s">
        <v>1510</v>
      </c>
      <c r="L430" t="s">
        <v>2144</v>
      </c>
    </row>
    <row r="431" spans="1:12">
      <c r="A431">
        <v>430</v>
      </c>
      <c r="B431" t="s">
        <v>905</v>
      </c>
      <c r="C431" t="s">
        <v>906</v>
      </c>
      <c r="D431" t="s">
        <v>928</v>
      </c>
      <c r="E431">
        <v>5.7124175003255502</v>
      </c>
      <c r="F431">
        <f t="shared" si="28"/>
        <v>515724.18749999424</v>
      </c>
      <c r="G431">
        <f t="shared" si="29"/>
        <v>18982806000.624866</v>
      </c>
      <c r="H431" s="10">
        <f t="shared" si="30"/>
        <v>0.99983018409799851</v>
      </c>
      <c r="I431" s="11">
        <f t="shared" si="31"/>
        <v>2.7163350313696326E-5</v>
      </c>
      <c r="J431" t="s">
        <v>1367</v>
      </c>
      <c r="K431" t="s">
        <v>2145</v>
      </c>
      <c r="L431" t="s">
        <v>2146</v>
      </c>
    </row>
    <row r="432" spans="1:12">
      <c r="A432">
        <v>431</v>
      </c>
      <c r="B432" t="s">
        <v>734</v>
      </c>
      <c r="C432" t="s">
        <v>735</v>
      </c>
      <c r="D432" t="s">
        <v>928</v>
      </c>
      <c r="E432">
        <v>5.6781917387117904</v>
      </c>
      <c r="F432">
        <f t="shared" si="28"/>
        <v>476641.37499999651</v>
      </c>
      <c r="G432">
        <f t="shared" si="29"/>
        <v>18983282641.999866</v>
      </c>
      <c r="H432" s="10">
        <f t="shared" si="30"/>
        <v>0.99985528894465281</v>
      </c>
      <c r="I432" s="11">
        <f t="shared" si="31"/>
        <v>2.5104846654350387E-5</v>
      </c>
      <c r="J432" t="s">
        <v>1368</v>
      </c>
      <c r="K432" t="s">
        <v>2147</v>
      </c>
      <c r="L432" t="s">
        <v>2148</v>
      </c>
    </row>
    <row r="433" spans="1:12">
      <c r="A433">
        <v>432</v>
      </c>
      <c r="B433" t="s">
        <v>754</v>
      </c>
      <c r="C433" t="s">
        <v>755</v>
      </c>
      <c r="D433" t="s">
        <v>928</v>
      </c>
      <c r="E433">
        <v>5.6716114588245699</v>
      </c>
      <c r="F433">
        <f t="shared" si="28"/>
        <v>469473.90624999686</v>
      </c>
      <c r="G433">
        <f t="shared" si="29"/>
        <v>18983752115.906116</v>
      </c>
      <c r="H433" s="10">
        <f t="shared" si="30"/>
        <v>0.99988001627854117</v>
      </c>
      <c r="I433" s="11">
        <f t="shared" si="31"/>
        <v>2.4727333888345566E-5</v>
      </c>
      <c r="J433" t="s">
        <v>1369</v>
      </c>
      <c r="K433" t="s">
        <v>1510</v>
      </c>
      <c r="L433" t="s">
        <v>2149</v>
      </c>
    </row>
    <row r="434" spans="1:12">
      <c r="A434">
        <v>433</v>
      </c>
      <c r="B434" t="s">
        <v>738</v>
      </c>
      <c r="C434" t="s">
        <v>739</v>
      </c>
      <c r="D434" t="s">
        <v>928</v>
      </c>
      <c r="E434">
        <v>5.5638152434144104</v>
      </c>
      <c r="F434">
        <f t="shared" si="28"/>
        <v>366281.71875000064</v>
      </c>
      <c r="G434">
        <f t="shared" si="29"/>
        <v>18984118397.624866</v>
      </c>
      <c r="H434" s="10">
        <f t="shared" si="30"/>
        <v>0.99989930844842789</v>
      </c>
      <c r="I434" s="11">
        <f t="shared" si="31"/>
        <v>1.9292169886658981E-5</v>
      </c>
      <c r="J434" t="s">
        <v>1370</v>
      </c>
      <c r="K434" t="s">
        <v>2150</v>
      </c>
      <c r="L434" t="s">
        <v>2151</v>
      </c>
    </row>
    <row r="435" spans="1:12">
      <c r="A435">
        <v>434</v>
      </c>
      <c r="B435" t="s">
        <v>278</v>
      </c>
      <c r="C435" t="s">
        <v>279</v>
      </c>
      <c r="D435" t="s">
        <v>928</v>
      </c>
      <c r="E435">
        <v>5.4958588009936999</v>
      </c>
      <c r="F435">
        <f t="shared" si="28"/>
        <v>313226.71874999738</v>
      </c>
      <c r="G435">
        <f t="shared" si="29"/>
        <v>18984431624.343616</v>
      </c>
      <c r="H435" s="10">
        <f t="shared" si="30"/>
        <v>0.99991580619527631</v>
      </c>
      <c r="I435" s="11">
        <f t="shared" si="31"/>
        <v>1.649774684848557E-5</v>
      </c>
      <c r="J435" t="s">
        <v>1371</v>
      </c>
      <c r="K435" t="s">
        <v>2152</v>
      </c>
      <c r="L435" t="s">
        <v>2153</v>
      </c>
    </row>
    <row r="436" spans="1:12">
      <c r="A436">
        <v>435</v>
      </c>
      <c r="B436" t="s">
        <v>532</v>
      </c>
      <c r="C436" t="s">
        <v>533</v>
      </c>
      <c r="D436" t="s">
        <v>928</v>
      </c>
      <c r="E436">
        <v>5.3728955268406899</v>
      </c>
      <c r="F436">
        <f t="shared" si="28"/>
        <v>235991.04687499529</v>
      </c>
      <c r="G436">
        <f t="shared" si="29"/>
        <v>18984667615.390491</v>
      </c>
      <c r="H436" s="10">
        <f t="shared" si="30"/>
        <v>0.999928235915721</v>
      </c>
      <c r="I436" s="11">
        <f t="shared" si="31"/>
        <v>1.242972044463495E-5</v>
      </c>
      <c r="J436" t="s">
        <v>1372</v>
      </c>
      <c r="K436" t="s">
        <v>2154</v>
      </c>
      <c r="L436" t="s">
        <v>2155</v>
      </c>
    </row>
    <row r="437" spans="1:12">
      <c r="A437">
        <v>436</v>
      </c>
      <c r="B437" t="s">
        <v>434</v>
      </c>
      <c r="C437" t="s">
        <v>435</v>
      </c>
      <c r="D437" t="s">
        <v>928</v>
      </c>
      <c r="E437">
        <v>5.3195621478950104</v>
      </c>
      <c r="F437">
        <f t="shared" si="28"/>
        <v>208719.07812499968</v>
      </c>
      <c r="G437">
        <f t="shared" si="29"/>
        <v>18984876334.468616</v>
      </c>
      <c r="H437" s="10">
        <f t="shared" si="30"/>
        <v>0.99993922921325029</v>
      </c>
      <c r="I437" s="11">
        <f t="shared" si="31"/>
        <v>1.0993297529333315E-5</v>
      </c>
      <c r="J437" t="s">
        <v>1373</v>
      </c>
      <c r="K437" t="s">
        <v>1510</v>
      </c>
      <c r="L437" t="s">
        <v>2156</v>
      </c>
    </row>
    <row r="438" spans="1:12">
      <c r="A438">
        <v>437</v>
      </c>
      <c r="B438" t="s">
        <v>866</v>
      </c>
      <c r="C438" t="s">
        <v>867</v>
      </c>
      <c r="D438" t="s">
        <v>928</v>
      </c>
      <c r="E438">
        <v>5.2784144617269604</v>
      </c>
      <c r="F438">
        <f t="shared" si="28"/>
        <v>189851.68749999721</v>
      </c>
      <c r="G438">
        <f t="shared" si="29"/>
        <v>18985066186.156116</v>
      </c>
      <c r="H438" s="10">
        <f t="shared" si="30"/>
        <v>0.99994922875955861</v>
      </c>
      <c r="I438" s="11">
        <f t="shared" si="31"/>
        <v>9.999546308284955E-6</v>
      </c>
      <c r="J438" t="s">
        <v>1374</v>
      </c>
      <c r="K438" t="s">
        <v>1510</v>
      </c>
      <c r="L438" t="s">
        <v>2157</v>
      </c>
    </row>
    <row r="439" spans="1:12">
      <c r="A439">
        <v>438</v>
      </c>
      <c r="B439" t="s">
        <v>404</v>
      </c>
      <c r="C439" t="s">
        <v>405</v>
      </c>
      <c r="D439" t="s">
        <v>928</v>
      </c>
      <c r="E439">
        <v>5.2184232000384299</v>
      </c>
      <c r="F439">
        <f t="shared" si="28"/>
        <v>165357.23437499846</v>
      </c>
      <c r="G439">
        <f t="shared" si="29"/>
        <v>18985231543.390491</v>
      </c>
      <c r="H439" s="10">
        <f t="shared" si="30"/>
        <v>0.99995793817554701</v>
      </c>
      <c r="I439" s="11">
        <f t="shared" si="31"/>
        <v>8.7094159884291272E-6</v>
      </c>
      <c r="J439" t="s">
        <v>1375</v>
      </c>
      <c r="K439" t="s">
        <v>1419</v>
      </c>
      <c r="L439" t="s">
        <v>2158</v>
      </c>
    </row>
    <row r="440" spans="1:12">
      <c r="A440">
        <v>439</v>
      </c>
      <c r="B440" t="s">
        <v>98</v>
      </c>
      <c r="C440" t="s">
        <v>99</v>
      </c>
      <c r="D440" t="s">
        <v>928</v>
      </c>
      <c r="E440">
        <v>5.1716781960297604</v>
      </c>
      <c r="F440">
        <f t="shared" si="28"/>
        <v>148483.49999999726</v>
      </c>
      <c r="G440">
        <f t="shared" si="29"/>
        <v>18985380026.890491</v>
      </c>
      <c r="H440" s="10">
        <f t="shared" si="30"/>
        <v>0.99996575884679739</v>
      </c>
      <c r="I440" s="11">
        <f t="shared" si="31"/>
        <v>7.8206712503739202E-6</v>
      </c>
      <c r="J440" t="s">
        <v>1376</v>
      </c>
      <c r="K440" t="s">
        <v>1510</v>
      </c>
      <c r="L440" t="s">
        <v>2159</v>
      </c>
    </row>
    <row r="441" spans="1:12">
      <c r="A441">
        <v>440</v>
      </c>
      <c r="B441" t="s">
        <v>907</v>
      </c>
      <c r="C441" t="s">
        <v>908</v>
      </c>
      <c r="D441" t="s">
        <v>928</v>
      </c>
      <c r="E441">
        <v>5.0759086562752396</v>
      </c>
      <c r="F441">
        <f t="shared" si="28"/>
        <v>119099.14843749809</v>
      </c>
      <c r="G441">
        <f t="shared" si="29"/>
        <v>18985499126.038929</v>
      </c>
      <c r="H441" s="10">
        <f t="shared" si="30"/>
        <v>0.99997203183528516</v>
      </c>
      <c r="I441" s="11">
        <f t="shared" si="31"/>
        <v>6.2729884878062172E-6</v>
      </c>
      <c r="J441" t="s">
        <v>1377</v>
      </c>
      <c r="K441" t="s">
        <v>2160</v>
      </c>
      <c r="L441" t="s">
        <v>2161</v>
      </c>
    </row>
    <row r="442" spans="1:12">
      <c r="A442">
        <v>441</v>
      </c>
      <c r="B442" t="s">
        <v>524</v>
      </c>
      <c r="C442" t="s">
        <v>525</v>
      </c>
      <c r="D442" t="s">
        <v>928</v>
      </c>
      <c r="E442">
        <v>5.0568040042595603</v>
      </c>
      <c r="F442">
        <f t="shared" si="28"/>
        <v>113973.53124999919</v>
      </c>
      <c r="G442">
        <f t="shared" si="29"/>
        <v>18985613099.570179</v>
      </c>
      <c r="H442" s="10">
        <f t="shared" si="30"/>
        <v>0.99997803485595183</v>
      </c>
      <c r="I442" s="11">
        <f t="shared" si="31"/>
        <v>6.0030206666092769E-6</v>
      </c>
      <c r="J442" t="s">
        <v>1378</v>
      </c>
      <c r="K442" t="s">
        <v>2076</v>
      </c>
      <c r="L442" t="s">
        <v>2162</v>
      </c>
    </row>
    <row r="443" spans="1:12">
      <c r="A443">
        <v>442</v>
      </c>
      <c r="B443" t="s">
        <v>876</v>
      </c>
      <c r="C443" t="s">
        <v>877</v>
      </c>
      <c r="D443" t="s">
        <v>928</v>
      </c>
      <c r="E443">
        <v>5.0467206911196598</v>
      </c>
      <c r="F443">
        <f t="shared" si="28"/>
        <v>111357.81249999891</v>
      </c>
      <c r="G443">
        <f t="shared" si="29"/>
        <v>18985724457.382679</v>
      </c>
      <c r="H443" s="10">
        <f t="shared" si="30"/>
        <v>0.99998390010591376</v>
      </c>
      <c r="I443" s="11">
        <f t="shared" si="31"/>
        <v>5.8652499619370976E-6</v>
      </c>
      <c r="J443" t="s">
        <v>1379</v>
      </c>
      <c r="K443" t="s">
        <v>1510</v>
      </c>
      <c r="L443" t="s">
        <v>2163</v>
      </c>
    </row>
    <row r="444" spans="1:12">
      <c r="A444">
        <v>443</v>
      </c>
      <c r="B444" t="s">
        <v>256</v>
      </c>
      <c r="C444" t="s">
        <v>257</v>
      </c>
      <c r="D444" t="s">
        <v>928</v>
      </c>
      <c r="E444">
        <v>4.9567173695419404</v>
      </c>
      <c r="F444">
        <f t="shared" si="28"/>
        <v>90514.335937498981</v>
      </c>
      <c r="G444">
        <f t="shared" si="29"/>
        <v>18985814971.718616</v>
      </c>
      <c r="H444" s="10">
        <f t="shared" si="30"/>
        <v>0.99998866752360538</v>
      </c>
      <c r="I444" s="11">
        <f t="shared" si="31"/>
        <v>4.7674176916162285E-6</v>
      </c>
      <c r="J444" t="s">
        <v>1380</v>
      </c>
      <c r="K444" t="s">
        <v>2164</v>
      </c>
      <c r="L444" t="s">
        <v>2165</v>
      </c>
    </row>
    <row r="445" spans="1:12">
      <c r="A445">
        <v>444</v>
      </c>
      <c r="B445" t="s">
        <v>540</v>
      </c>
      <c r="C445" t="s">
        <v>541</v>
      </c>
      <c r="D445" t="s">
        <v>928</v>
      </c>
      <c r="E445">
        <v>4.9486845441504501</v>
      </c>
      <c r="F445">
        <f t="shared" si="28"/>
        <v>88855.546874999141</v>
      </c>
      <c r="G445">
        <f t="shared" si="29"/>
        <v>18985903827.265491</v>
      </c>
      <c r="H445" s="10">
        <f t="shared" si="30"/>
        <v>0.99999334757237091</v>
      </c>
      <c r="I445" s="11">
        <f t="shared" si="31"/>
        <v>4.6800487655636537E-6</v>
      </c>
      <c r="J445" s="12" t="s">
        <v>1381</v>
      </c>
      <c r="K445" t="s">
        <v>2166</v>
      </c>
      <c r="L445" t="s">
        <v>2167</v>
      </c>
    </row>
    <row r="446" spans="1:12">
      <c r="A446">
        <v>445</v>
      </c>
      <c r="B446" t="s">
        <v>376</v>
      </c>
      <c r="C446" t="s">
        <v>377</v>
      </c>
      <c r="D446" t="s">
        <v>928</v>
      </c>
      <c r="E446">
        <v>4.62829176175737</v>
      </c>
      <c r="F446">
        <f t="shared" si="28"/>
        <v>42490.492187499782</v>
      </c>
      <c r="G446">
        <f t="shared" si="29"/>
        <v>18985946317.757679</v>
      </c>
      <c r="H446" s="10">
        <f t="shared" si="30"/>
        <v>0.99999558555955914</v>
      </c>
      <c r="I446" s="11">
        <f t="shared" si="31"/>
        <v>2.2379871882399277E-6</v>
      </c>
      <c r="J446" t="s">
        <v>1382</v>
      </c>
      <c r="K446" t="s">
        <v>1510</v>
      </c>
      <c r="L446" t="s">
        <v>2168</v>
      </c>
    </row>
    <row r="447" spans="1:12">
      <c r="A447">
        <v>446</v>
      </c>
      <c r="B447" t="s">
        <v>592</v>
      </c>
      <c r="C447" t="s">
        <v>593</v>
      </c>
      <c r="D447" t="s">
        <v>928</v>
      </c>
      <c r="E447">
        <v>4.5506543624087401</v>
      </c>
      <c r="F447">
        <f t="shared" si="28"/>
        <v>35534.839843749694</v>
      </c>
      <c r="G447">
        <f t="shared" si="29"/>
        <v>18985981852.597523</v>
      </c>
      <c r="H447" s="10">
        <f t="shared" si="30"/>
        <v>0.99999745719041611</v>
      </c>
      <c r="I447" s="11">
        <f t="shared" si="31"/>
        <v>1.8716308569818197E-6</v>
      </c>
      <c r="J447" t="s">
        <v>1383</v>
      </c>
      <c r="K447" t="s">
        <v>2169</v>
      </c>
      <c r="L447" t="s">
        <v>2170</v>
      </c>
    </row>
    <row r="448" spans="1:12">
      <c r="A448">
        <v>447</v>
      </c>
      <c r="B448" t="s">
        <v>842</v>
      </c>
      <c r="C448" t="s">
        <v>843</v>
      </c>
      <c r="D448" t="s">
        <v>928</v>
      </c>
      <c r="E448">
        <v>4.3013557215804603</v>
      </c>
      <c r="F448">
        <f t="shared" si="28"/>
        <v>20015.005859374927</v>
      </c>
      <c r="G448">
        <f t="shared" si="29"/>
        <v>18986001867.603382</v>
      </c>
      <c r="H448" s="10">
        <f t="shared" si="30"/>
        <v>0.99999851138688178</v>
      </c>
      <c r="I448" s="11">
        <f t="shared" si="31"/>
        <v>1.0541964656038007E-6</v>
      </c>
      <c r="J448" t="s">
        <v>1384</v>
      </c>
      <c r="K448" t="s">
        <v>1510</v>
      </c>
      <c r="L448" t="s">
        <v>2171</v>
      </c>
    </row>
    <row r="449" spans="1:12">
      <c r="A449">
        <v>448</v>
      </c>
      <c r="B449" t="s">
        <v>909</v>
      </c>
      <c r="C449" t="s">
        <v>910</v>
      </c>
      <c r="D449" t="s">
        <v>928</v>
      </c>
      <c r="E449">
        <v>4.2242064440659304</v>
      </c>
      <c r="F449">
        <f t="shared" si="28"/>
        <v>16757.392578124713</v>
      </c>
      <c r="G449">
        <f t="shared" si="29"/>
        <v>18986018624.99596</v>
      </c>
      <c r="H449" s="10">
        <f t="shared" si="30"/>
        <v>0.99999939400386184</v>
      </c>
      <c r="I449" s="11">
        <f t="shared" si="31"/>
        <v>8.8261698011544487E-7</v>
      </c>
      <c r="J449" t="s">
        <v>1388</v>
      </c>
    </row>
    <row r="450" spans="1:12">
      <c r="A450">
        <v>449</v>
      </c>
      <c r="B450" t="s">
        <v>504</v>
      </c>
      <c r="C450" t="s">
        <v>505</v>
      </c>
      <c r="D450" t="s">
        <v>928</v>
      </c>
      <c r="E450">
        <v>4.0609040222747801</v>
      </c>
      <c r="F450">
        <f t="shared" si="28"/>
        <v>11505.460937499813</v>
      </c>
      <c r="G450">
        <f t="shared" si="29"/>
        <v>18986030130.456898</v>
      </c>
      <c r="H450" s="10">
        <f t="shared" si="30"/>
        <v>1</v>
      </c>
      <c r="I450" s="11">
        <f t="shared" si="31"/>
        <v>6.0599613813121733E-7</v>
      </c>
      <c r="J450" t="s">
        <v>1385</v>
      </c>
      <c r="K450" t="s">
        <v>1469</v>
      </c>
      <c r="L450" t="s">
        <v>2172</v>
      </c>
    </row>
  </sheetData>
  <autoFilter ref="J1:J450" xr:uid="{00000000-0009-0000-0000-000002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Identification overview</vt:lpstr>
      <vt:lpstr>Proteins_all_raw data</vt:lpstr>
      <vt:lpstr>iBAQ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Proteomics</dc:creator>
  <cp:lastModifiedBy>Yanbao Yu</cp:lastModifiedBy>
  <dcterms:created xsi:type="dcterms:W3CDTF">2025-02-27T22:49:31Z</dcterms:created>
  <dcterms:modified xsi:type="dcterms:W3CDTF">2025-02-28T01:52:29Z</dcterms:modified>
</cp:coreProperties>
</file>